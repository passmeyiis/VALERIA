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files\Report Pekerjaan\Report buat dashboard\"/>
    </mc:Choice>
  </mc:AlternateContent>
  <xr:revisionPtr revIDLastSave="0" documentId="8_{833B482A-4DCB-4D01-89CA-34F4399FA792}" xr6:coauthVersionLast="47" xr6:coauthVersionMax="47" xr10:uidLastSave="{00000000-0000-0000-0000-000000000000}"/>
  <bookViews>
    <workbookView xWindow="-120" yWindow="-120" windowWidth="20730" windowHeight="11160" firstSheet="1" activeTab="1" xr2:uid="{678CF38F-1CD4-466A-AC4B-23E07029F07C}"/>
  </bookViews>
  <sheets>
    <sheet name="List Project" sheetId="16" r:id="rId1"/>
    <sheet name="List Order" sheetId="15" r:id="rId2"/>
    <sheet name="Sum 2024" sheetId="18" r:id="rId3"/>
    <sheet name="Sum 2025" sheetId="19" r:id="rId4"/>
    <sheet name="Sum 2026" sheetId="22" r:id="rId5"/>
    <sheet name="Dis Dow Jan - Apr" sheetId="20" r:id="rId6"/>
    <sheet name="Case 1500 &amp; Connectivity" sheetId="21" r:id="rId7"/>
  </sheets>
  <definedNames>
    <definedName name="_xlnm._FilterDatabase" localSheetId="0" hidden="1">'List Project'!$A$1:$P$277</definedName>
    <definedName name="_xlnm._FilterDatabase" localSheetId="1" hidden="1">'List Order'!$A$1:$W$179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7" i="22" l="1"/>
  <c r="AP37" i="22"/>
  <c r="AO36" i="22"/>
  <c r="AP36" i="22"/>
  <c r="AP38" i="22"/>
  <c r="AF12" i="22"/>
  <c r="AG12" i="22"/>
  <c r="AH12" i="22"/>
  <c r="AI12" i="22"/>
  <c r="AJ12" i="22"/>
  <c r="AK12" i="22"/>
  <c r="AL12" i="22"/>
  <c r="AM12" i="22"/>
  <c r="AN12" i="22"/>
  <c r="AO12" i="22"/>
  <c r="AP12" i="22"/>
  <c r="AQ12" i="22"/>
  <c r="AV12" i="22"/>
  <c r="AW12" i="22"/>
  <c r="AX12" i="22"/>
  <c r="AY12" i="22"/>
  <c r="AZ12" i="22"/>
  <c r="BA12" i="22"/>
  <c r="BB12" i="22"/>
  <c r="BC12" i="22"/>
  <c r="BD12" i="22"/>
  <c r="BE12" i="22"/>
  <c r="BF12" i="22"/>
  <c r="BG12" i="22"/>
  <c r="BH12" i="22"/>
  <c r="BI12" i="22"/>
  <c r="BJ12" i="22"/>
  <c r="BK12" i="22"/>
  <c r="BL12" i="22"/>
  <c r="BM12" i="22"/>
  <c r="BN12" i="22"/>
  <c r="BO12" i="22"/>
  <c r="BP12" i="22"/>
  <c r="BQ12" i="22"/>
  <c r="BR12" i="22"/>
  <c r="BS12" i="22"/>
  <c r="AF13" i="22"/>
  <c r="AG13" i="22"/>
  <c r="AH13" i="22"/>
  <c r="AI13" i="22"/>
  <c r="AJ13" i="22"/>
  <c r="AK13" i="22"/>
  <c r="AL13" i="22"/>
  <c r="AM13" i="22"/>
  <c r="AN13" i="22"/>
  <c r="AO13" i="22"/>
  <c r="AP13" i="22"/>
  <c r="AQ13" i="22"/>
  <c r="AV13" i="22"/>
  <c r="AX13" i="22"/>
  <c r="AZ13" i="22"/>
  <c r="BB13" i="22"/>
  <c r="BD13" i="22"/>
  <c r="BF13" i="22"/>
  <c r="BH13" i="22"/>
  <c r="BJ13" i="22"/>
  <c r="BL13" i="22"/>
  <c r="BN13" i="22"/>
  <c r="BP13" i="22"/>
  <c r="BR13" i="22"/>
  <c r="AF14" i="22"/>
  <c r="AG14" i="22"/>
  <c r="AH14" i="22"/>
  <c r="AI14" i="22"/>
  <c r="AJ14" i="22"/>
  <c r="AK14" i="22"/>
  <c r="AL14" i="22"/>
  <c r="AM14" i="22"/>
  <c r="AN14" i="22"/>
  <c r="AO14" i="22"/>
  <c r="AP14" i="22"/>
  <c r="AQ14" i="22"/>
  <c r="AV14" i="22"/>
  <c r="AW14" i="22"/>
  <c r="AX14" i="22"/>
  <c r="AY14" i="22"/>
  <c r="AZ14" i="22"/>
  <c r="BA14" i="22"/>
  <c r="BB14" i="22"/>
  <c r="BC14" i="22"/>
  <c r="BD14" i="22"/>
  <c r="BE14" i="22"/>
  <c r="BF14" i="22"/>
  <c r="BG14" i="22"/>
  <c r="BH14" i="22"/>
  <c r="BI14" i="22"/>
  <c r="BJ14" i="22"/>
  <c r="BK14" i="22"/>
  <c r="BL14" i="22"/>
  <c r="BM14" i="22"/>
  <c r="BN14" i="22"/>
  <c r="BO14" i="22"/>
  <c r="BP14" i="22"/>
  <c r="BQ14" i="22"/>
  <c r="BR14" i="22"/>
  <c r="BS14" i="22"/>
  <c r="AF15" i="22"/>
  <c r="AG15" i="22"/>
  <c r="AH15" i="22"/>
  <c r="AI15" i="22"/>
  <c r="AJ15" i="22"/>
  <c r="AK15" i="22"/>
  <c r="AL15" i="22"/>
  <c r="AM15" i="22"/>
  <c r="AN15" i="22"/>
  <c r="AO15" i="22"/>
  <c r="AP15" i="22"/>
  <c r="AQ15" i="22"/>
  <c r="AV15" i="22"/>
  <c r="AW15" i="22"/>
  <c r="AX15" i="22"/>
  <c r="AY15" i="22"/>
  <c r="AZ15" i="22"/>
  <c r="BA15" i="22"/>
  <c r="BB15" i="22"/>
  <c r="BC15" i="22"/>
  <c r="BD15" i="22"/>
  <c r="BE15" i="22"/>
  <c r="BF15" i="22"/>
  <c r="BG15" i="22"/>
  <c r="BH15" i="22"/>
  <c r="BI15" i="22"/>
  <c r="BJ15" i="22"/>
  <c r="BK15" i="22"/>
  <c r="BL15" i="22"/>
  <c r="BM15" i="22"/>
  <c r="BN15" i="22"/>
  <c r="BO15" i="22"/>
  <c r="BP15" i="22"/>
  <c r="BQ15" i="22"/>
  <c r="BR15" i="22"/>
  <c r="BS15" i="22"/>
  <c r="AV16" i="22"/>
  <c r="AW16" i="22"/>
  <c r="AX16" i="22"/>
  <c r="AY16" i="22"/>
  <c r="AZ16" i="22"/>
  <c r="BA16" i="22"/>
  <c r="BB16" i="22"/>
  <c r="BC16" i="22"/>
  <c r="BD16" i="22"/>
  <c r="BE16" i="22"/>
  <c r="BF16" i="22"/>
  <c r="BG16" i="22"/>
  <c r="BH16" i="22"/>
  <c r="BI16" i="22"/>
  <c r="BJ16" i="22"/>
  <c r="BK16" i="22"/>
  <c r="BL16" i="22"/>
  <c r="BM16" i="22"/>
  <c r="BN16" i="22"/>
  <c r="BO16" i="22"/>
  <c r="BP16" i="22"/>
  <c r="BQ16" i="22"/>
  <c r="BR16" i="22"/>
  <c r="BS16" i="22"/>
  <c r="AV17" i="22"/>
  <c r="AW17" i="22"/>
  <c r="AX17" i="22"/>
  <c r="AY17" i="22"/>
  <c r="AZ17" i="22"/>
  <c r="BA17" i="22"/>
  <c r="BB17" i="22"/>
  <c r="BC17" i="22"/>
  <c r="BD17" i="22"/>
  <c r="BE17" i="22"/>
  <c r="BF17" i="22"/>
  <c r="BG17" i="22"/>
  <c r="BH17" i="22"/>
  <c r="BI17" i="22"/>
  <c r="BJ17" i="22"/>
  <c r="BK17" i="22"/>
  <c r="BL17" i="22"/>
  <c r="BM17" i="22"/>
  <c r="BN17" i="22"/>
  <c r="BO17" i="22"/>
  <c r="BP17" i="22"/>
  <c r="BQ17" i="22"/>
  <c r="BR17" i="22"/>
  <c r="BS17" i="22"/>
  <c r="AG18" i="22"/>
  <c r="AH18" i="22"/>
  <c r="AI18" i="22"/>
  <c r="AV18" i="22"/>
  <c r="AX18" i="22"/>
  <c r="AZ18" i="22"/>
  <c r="BB18" i="22"/>
  <c r="BD18" i="22"/>
  <c r="BF18" i="22"/>
  <c r="BH18" i="22"/>
  <c r="BJ18" i="22"/>
  <c r="BL18" i="22"/>
  <c r="BN18" i="22"/>
  <c r="BP18" i="22"/>
  <c r="BR18" i="22"/>
  <c r="AG19" i="22"/>
  <c r="AH19" i="22"/>
  <c r="AI19" i="22"/>
  <c r="AV19" i="22"/>
  <c r="AW19" i="22"/>
  <c r="AX19" i="22"/>
  <c r="AY19" i="22"/>
  <c r="AZ19" i="22"/>
  <c r="BA19" i="22"/>
  <c r="BB19" i="22"/>
  <c r="BC19" i="22"/>
  <c r="BD19" i="22"/>
  <c r="BE19" i="22"/>
  <c r="BF19" i="22"/>
  <c r="BG19" i="22"/>
  <c r="BH19" i="22"/>
  <c r="BI19" i="22"/>
  <c r="BJ19" i="22"/>
  <c r="BK19" i="22"/>
  <c r="BL19" i="22"/>
  <c r="BM19" i="22"/>
  <c r="BN19" i="22"/>
  <c r="BO19" i="22"/>
  <c r="BP19" i="22"/>
  <c r="BQ19" i="22"/>
  <c r="BR19" i="22"/>
  <c r="BS19" i="22"/>
  <c r="AG20" i="22"/>
  <c r="AH20" i="22"/>
  <c r="AI20" i="22"/>
  <c r="AV20" i="22"/>
  <c r="AW20" i="22"/>
  <c r="AX20" i="22"/>
  <c r="AY20" i="22"/>
  <c r="AZ20" i="22"/>
  <c r="BA20" i="22"/>
  <c r="BB20" i="22"/>
  <c r="BC20" i="22"/>
  <c r="BD20" i="22"/>
  <c r="BE20" i="22"/>
  <c r="BF20" i="22"/>
  <c r="BG20" i="22"/>
  <c r="BH20" i="22"/>
  <c r="BI20" i="22"/>
  <c r="BJ20" i="22"/>
  <c r="BK20" i="22"/>
  <c r="BL20" i="22"/>
  <c r="BM20" i="22"/>
  <c r="BN20" i="22"/>
  <c r="BO20" i="22"/>
  <c r="BP20" i="22"/>
  <c r="BQ20" i="22"/>
  <c r="BR20" i="22"/>
  <c r="BS20" i="22"/>
  <c r="AG21" i="22"/>
  <c r="AH21" i="22"/>
  <c r="AI21" i="22"/>
  <c r="AV22" i="22"/>
  <c r="AX22" i="22"/>
  <c r="AZ22" i="22"/>
  <c r="BB22" i="22"/>
  <c r="BD22" i="22"/>
  <c r="BF22" i="22"/>
  <c r="BH22" i="22"/>
  <c r="BJ22" i="22"/>
  <c r="BL22" i="22"/>
  <c r="BN22" i="22"/>
  <c r="BP22" i="22"/>
  <c r="BR22" i="22"/>
  <c r="AV23" i="22"/>
  <c r="AX23" i="22"/>
  <c r="AZ23" i="22"/>
  <c r="BB23" i="22"/>
  <c r="BD23" i="22"/>
  <c r="BF23" i="22"/>
  <c r="BH23" i="22"/>
  <c r="BJ23" i="22"/>
  <c r="BL23" i="22"/>
  <c r="BN23" i="22"/>
  <c r="BP23" i="22"/>
  <c r="BR23" i="22"/>
  <c r="AG51" i="22"/>
  <c r="AH51" i="22"/>
  <c r="AI51" i="22"/>
  <c r="AJ51" i="22"/>
  <c r="AG52" i="22"/>
  <c r="AH52" i="22"/>
  <c r="AI52" i="22"/>
  <c r="AJ52" i="22"/>
  <c r="AG53" i="22"/>
  <c r="AH53" i="22"/>
  <c r="AI53" i="22"/>
  <c r="AJ53" i="22"/>
  <c r="AG54" i="22"/>
  <c r="AH54" i="22"/>
  <c r="AI54" i="22"/>
  <c r="AJ54" i="22"/>
  <c r="AF58" i="22"/>
  <c r="AG58" i="22"/>
  <c r="AH58" i="22"/>
  <c r="AI58" i="22"/>
  <c r="AF59" i="22"/>
  <c r="AG59" i="22"/>
  <c r="AH59" i="22"/>
  <c r="AI59" i="22"/>
  <c r="AF60" i="22"/>
  <c r="AG60" i="22"/>
  <c r="AH60" i="22"/>
  <c r="AI60" i="22"/>
  <c r="AF61" i="22"/>
  <c r="AG61" i="22"/>
  <c r="AH61" i="22"/>
  <c r="AI61" i="22"/>
  <c r="D2" i="22"/>
  <c r="AF2" i="22"/>
  <c r="AG2" i="22"/>
  <c r="AH2" i="22"/>
  <c r="AI2" i="22"/>
  <c r="AJ2" i="22"/>
  <c r="AK2" i="22"/>
  <c r="AL2" i="22"/>
  <c r="AM2" i="22"/>
  <c r="AN2" i="22"/>
  <c r="AO2" i="22"/>
  <c r="AP2" i="22"/>
  <c r="AQ2" i="22"/>
  <c r="AF3" i="22"/>
  <c r="AG3" i="22"/>
  <c r="AH3" i="22"/>
  <c r="AI3" i="22"/>
  <c r="AJ3" i="22"/>
  <c r="AK3" i="22"/>
  <c r="AL3" i="22"/>
  <c r="AM3" i="22"/>
  <c r="AN3" i="22"/>
  <c r="AO3" i="22"/>
  <c r="AP3" i="22"/>
  <c r="AQ3" i="22"/>
  <c r="AS3" i="22"/>
  <c r="AV3" i="22"/>
  <c r="AX3" i="22"/>
  <c r="AZ3" i="22"/>
  <c r="BB3" i="22"/>
  <c r="BD3" i="22"/>
  <c r="BF3" i="22"/>
  <c r="BH3" i="22"/>
  <c r="BJ3" i="22"/>
  <c r="BL3" i="22"/>
  <c r="BN3" i="22"/>
  <c r="BP3" i="22"/>
  <c r="BR3" i="22"/>
  <c r="D4" i="22"/>
  <c r="AF4" i="22"/>
  <c r="AG4" i="22"/>
  <c r="AH4" i="22"/>
  <c r="AI4" i="22"/>
  <c r="AJ4" i="22"/>
  <c r="AK4" i="22"/>
  <c r="AL4" i="22"/>
  <c r="AM4" i="22"/>
  <c r="AN4" i="22"/>
  <c r="AO4" i="22"/>
  <c r="AP4" i="22"/>
  <c r="AQ4" i="22"/>
  <c r="AS4" i="22"/>
  <c r="AV4" i="22"/>
  <c r="AW4" i="22"/>
  <c r="AX4" i="22"/>
  <c r="AY4" i="22"/>
  <c r="AZ4" i="22"/>
  <c r="BA4" i="22"/>
  <c r="BB4" i="22"/>
  <c r="BC4" i="22"/>
  <c r="BD4" i="22"/>
  <c r="BE4" i="22"/>
  <c r="BF4" i="22"/>
  <c r="BG4" i="22"/>
  <c r="BH4" i="22"/>
  <c r="BI4" i="22"/>
  <c r="BJ4" i="22"/>
  <c r="BK4" i="22"/>
  <c r="BL4" i="22"/>
  <c r="BM4" i="22"/>
  <c r="BN4" i="22"/>
  <c r="BO4" i="22"/>
  <c r="BP4" i="22"/>
  <c r="BQ4" i="22"/>
  <c r="BR4" i="22"/>
  <c r="BS4" i="22"/>
  <c r="AF5" i="22"/>
  <c r="AG5" i="22"/>
  <c r="AH5" i="22"/>
  <c r="AI5" i="22"/>
  <c r="AJ5" i="22"/>
  <c r="AK5" i="22"/>
  <c r="AL5" i="22"/>
  <c r="AM5" i="22"/>
  <c r="AN5" i="22"/>
  <c r="AO5" i="22"/>
  <c r="AP5" i="22"/>
  <c r="AQ5" i="22"/>
  <c r="AS5" i="22"/>
  <c r="AV5" i="22"/>
  <c r="AW5" i="22"/>
  <c r="AX5" i="22"/>
  <c r="AY5" i="22"/>
  <c r="AZ5" i="22"/>
  <c r="BA5" i="22"/>
  <c r="BB5" i="22"/>
  <c r="BC5" i="22"/>
  <c r="BD5" i="22"/>
  <c r="BE5" i="22"/>
  <c r="BF5" i="22"/>
  <c r="BG5" i="22"/>
  <c r="BH5" i="22"/>
  <c r="BI5" i="22"/>
  <c r="BJ5" i="22"/>
  <c r="BK5" i="22"/>
  <c r="BL5" i="22"/>
  <c r="BM5" i="22"/>
  <c r="BN5" i="22"/>
  <c r="BO5" i="22"/>
  <c r="BP5" i="22"/>
  <c r="BQ5" i="22"/>
  <c r="BR5" i="22"/>
  <c r="BS5" i="22"/>
  <c r="AF6" i="22"/>
  <c r="AG6" i="22"/>
  <c r="AH6" i="22"/>
  <c r="AI6" i="22"/>
  <c r="AJ6" i="22"/>
  <c r="AK6" i="22"/>
  <c r="AL6" i="22"/>
  <c r="AM6" i="22"/>
  <c r="AN6" i="22"/>
  <c r="AO6" i="22"/>
  <c r="AP6" i="22"/>
  <c r="AQ6" i="22"/>
  <c r="AS6" i="22"/>
  <c r="AV6" i="22"/>
  <c r="AW6" i="22"/>
  <c r="AX6" i="22"/>
  <c r="AY6" i="22"/>
  <c r="AZ6" i="22"/>
  <c r="BA6" i="22"/>
  <c r="BA3" i="22" s="1"/>
  <c r="BB6" i="22"/>
  <c r="BC6" i="22"/>
  <c r="BD6" i="22"/>
  <c r="BE6" i="22"/>
  <c r="BF6" i="22"/>
  <c r="BG6" i="22"/>
  <c r="BG3" i="22" s="1"/>
  <c r="BH6" i="22"/>
  <c r="BI6" i="22"/>
  <c r="BJ6" i="22"/>
  <c r="BK6" i="22"/>
  <c r="BL6" i="22"/>
  <c r="BM6" i="22"/>
  <c r="BM3" i="22" s="1"/>
  <c r="BN6" i="22"/>
  <c r="BO6" i="22"/>
  <c r="BP6" i="22"/>
  <c r="BQ6" i="22"/>
  <c r="BR6" i="22"/>
  <c r="BS6" i="22"/>
  <c r="BS3" i="22" s="1"/>
  <c r="AF7" i="22"/>
  <c r="AG7" i="22"/>
  <c r="AH7" i="22"/>
  <c r="AI7" i="22"/>
  <c r="AJ7" i="22"/>
  <c r="AK7" i="22"/>
  <c r="AL7" i="22"/>
  <c r="AM7" i="22"/>
  <c r="AN7" i="22"/>
  <c r="AO7" i="22"/>
  <c r="AP7" i="22"/>
  <c r="AQ7" i="22"/>
  <c r="AV7" i="22"/>
  <c r="AW7" i="22"/>
  <c r="AX7" i="22"/>
  <c r="AY7" i="22"/>
  <c r="AZ7" i="22"/>
  <c r="BA7" i="22"/>
  <c r="BB7" i="22"/>
  <c r="BC7" i="22"/>
  <c r="BD7" i="22"/>
  <c r="BE7" i="22"/>
  <c r="BF7" i="22"/>
  <c r="BG7" i="22"/>
  <c r="BH7" i="22"/>
  <c r="BI7" i="22"/>
  <c r="BJ7" i="22"/>
  <c r="BK7" i="22"/>
  <c r="BL7" i="22"/>
  <c r="BM7" i="22"/>
  <c r="BN7" i="22"/>
  <c r="BO7" i="22"/>
  <c r="BP7" i="22"/>
  <c r="BQ7" i="22"/>
  <c r="BR7" i="22"/>
  <c r="BS7" i="22"/>
  <c r="AF8" i="22"/>
  <c r="AG8" i="22"/>
  <c r="AH8" i="22"/>
  <c r="AI8" i="22"/>
  <c r="AJ8" i="22"/>
  <c r="AK8" i="22"/>
  <c r="AL8" i="22"/>
  <c r="AM8" i="22"/>
  <c r="AN8" i="22"/>
  <c r="AO8" i="22"/>
  <c r="AP8" i="22"/>
  <c r="AQ8" i="22"/>
  <c r="AV8" i="22"/>
  <c r="AX8" i="22"/>
  <c r="AZ8" i="22"/>
  <c r="AZ21" i="22" s="1"/>
  <c r="BB8" i="22"/>
  <c r="BD8" i="22"/>
  <c r="BF8" i="22"/>
  <c r="BF21" i="22" s="1"/>
  <c r="BH8" i="22"/>
  <c r="BJ8" i="22"/>
  <c r="BL8" i="22"/>
  <c r="BL21" i="22" s="1"/>
  <c r="BN8" i="22"/>
  <c r="BP8" i="22"/>
  <c r="BR8" i="22"/>
  <c r="BR21" i="22" s="1"/>
  <c r="AF9" i="22"/>
  <c r="AG9" i="22"/>
  <c r="AH9" i="22"/>
  <c r="AI9" i="22"/>
  <c r="AJ9" i="22"/>
  <c r="AK9" i="22"/>
  <c r="AL9" i="22"/>
  <c r="AM9" i="22"/>
  <c r="AN9" i="22"/>
  <c r="AO9" i="22"/>
  <c r="AP9" i="22"/>
  <c r="AQ9" i="22"/>
  <c r="AV9" i="22"/>
  <c r="AW9" i="22"/>
  <c r="AX9" i="22"/>
  <c r="AY9" i="22"/>
  <c r="AZ9" i="22"/>
  <c r="BA9" i="22"/>
  <c r="BB9" i="22"/>
  <c r="BC9" i="22"/>
  <c r="BD9" i="22"/>
  <c r="BE9" i="22"/>
  <c r="BF9" i="22"/>
  <c r="BG9" i="22"/>
  <c r="BH9" i="22"/>
  <c r="BI9" i="22"/>
  <c r="BJ9" i="22"/>
  <c r="BK9" i="22"/>
  <c r="BL9" i="22"/>
  <c r="BM9" i="22"/>
  <c r="BN9" i="22"/>
  <c r="BO9" i="22"/>
  <c r="BP9" i="22"/>
  <c r="BQ9" i="22"/>
  <c r="BR9" i="22"/>
  <c r="BS9" i="22"/>
  <c r="AV10" i="22"/>
  <c r="AW10" i="22"/>
  <c r="AX10" i="22"/>
  <c r="AY10" i="22"/>
  <c r="AZ10" i="22"/>
  <c r="BA10" i="22"/>
  <c r="BB10" i="22"/>
  <c r="BC10" i="22"/>
  <c r="BD10" i="22"/>
  <c r="BE10" i="22"/>
  <c r="BF10" i="22"/>
  <c r="BG10" i="22"/>
  <c r="BH10" i="22"/>
  <c r="BI10" i="22"/>
  <c r="BJ10" i="22"/>
  <c r="BK10" i="22"/>
  <c r="BL10" i="22"/>
  <c r="BM10" i="22"/>
  <c r="BN10" i="22"/>
  <c r="BO10" i="22"/>
  <c r="BP10" i="22"/>
  <c r="BQ10" i="22"/>
  <c r="BR10" i="22"/>
  <c r="BS10" i="22"/>
  <c r="AV11" i="22"/>
  <c r="AW11" i="22"/>
  <c r="AX11" i="22"/>
  <c r="AY11" i="22"/>
  <c r="AZ11" i="22"/>
  <c r="BA11" i="22"/>
  <c r="BB11" i="22"/>
  <c r="BC11" i="22"/>
  <c r="BD11" i="22"/>
  <c r="BE11" i="22"/>
  <c r="BF11" i="22"/>
  <c r="BG11" i="22"/>
  <c r="BH11" i="22"/>
  <c r="BI11" i="22"/>
  <c r="BJ11" i="22"/>
  <c r="BK11" i="22"/>
  <c r="BL11" i="22"/>
  <c r="BM11" i="22"/>
  <c r="BN11" i="22"/>
  <c r="BO11" i="22"/>
  <c r="BP11" i="22"/>
  <c r="BQ11" i="22"/>
  <c r="BR11" i="22"/>
  <c r="BS11" i="22"/>
  <c r="AO21" i="22"/>
  <c r="AO20" i="22"/>
  <c r="AN21" i="22"/>
  <c r="AN20" i="22"/>
  <c r="AO19" i="22"/>
  <c r="AN19" i="22"/>
  <c r="AM21" i="22"/>
  <c r="AM20" i="22"/>
  <c r="AM19" i="22"/>
  <c r="BP21" i="22"/>
  <c r="BN21" i="22"/>
  <c r="BJ21" i="22"/>
  <c r="BH21" i="22"/>
  <c r="BD21" i="22"/>
  <c r="BB21" i="22"/>
  <c r="AX21" i="22"/>
  <c r="AV21" i="22"/>
  <c r="AL21" i="22"/>
  <c r="AL20" i="22"/>
  <c r="AL19" i="22"/>
  <c r="BO8" i="22"/>
  <c r="BM8" i="22"/>
  <c r="BI8" i="22"/>
  <c r="BG8" i="22"/>
  <c r="BC8" i="22"/>
  <c r="AW8" i="22"/>
  <c r="BE8" i="22"/>
  <c r="AQ25" i="22"/>
  <c r="AQ27" i="22"/>
  <c r="AQ33" i="22" s="1"/>
  <c r="AP27" i="22"/>
  <c r="AP33" i="22" s="1"/>
  <c r="AO25" i="22"/>
  <c r="AN25" i="22"/>
  <c r="AN27" i="22"/>
  <c r="AN33" i="22" s="1"/>
  <c r="AM27" i="22"/>
  <c r="AM33" i="22" s="1"/>
  <c r="AL25" i="22"/>
  <c r="AK25" i="22"/>
  <c r="AK27" i="22"/>
  <c r="AK33" i="22" s="1"/>
  <c r="AJ27" i="22"/>
  <c r="AJ33" i="22" s="1"/>
  <c r="AI25" i="22"/>
  <c r="AH25" i="22"/>
  <c r="AH27" i="22"/>
  <c r="AH33" i="22" s="1"/>
  <c r="AG27" i="22"/>
  <c r="AG33" i="22" s="1"/>
  <c r="AF25" i="22"/>
  <c r="AQ24" i="22"/>
  <c r="AQ26" i="22"/>
  <c r="AQ32" i="22" s="1"/>
  <c r="AP26" i="22"/>
  <c r="AP32" i="22" s="1"/>
  <c r="AO24" i="22"/>
  <c r="AN24" i="22"/>
  <c r="AN26" i="22"/>
  <c r="AN32" i="22" s="1"/>
  <c r="AM26" i="22"/>
  <c r="AM32" i="22" s="1"/>
  <c r="AL24" i="22"/>
  <c r="AK24" i="22"/>
  <c r="AK26" i="22"/>
  <c r="AK32" i="22" s="1"/>
  <c r="AJ26" i="22"/>
  <c r="AJ32" i="22" s="1"/>
  <c r="AI24" i="22"/>
  <c r="AH24" i="22"/>
  <c r="AH26" i="22"/>
  <c r="AH32" i="22" s="1"/>
  <c r="AG26" i="22"/>
  <c r="AG32" i="22" s="1"/>
  <c r="AF24" i="22"/>
  <c r="BO3" i="22"/>
  <c r="BI3" i="22"/>
  <c r="BI25" i="22" s="1"/>
  <c r="BC3" i="22"/>
  <c r="BC25" i="22" s="1"/>
  <c r="AW3" i="22"/>
  <c r="AW25" i="22" s="1"/>
  <c r="AF18" i="22"/>
  <c r="AL18" i="22" s="1"/>
  <c r="AR2" i="22"/>
  <c r="AJ54" i="19"/>
  <c r="AJ53" i="19"/>
  <c r="AJ52" i="19"/>
  <c r="AI61" i="19"/>
  <c r="AH61" i="19"/>
  <c r="AG61" i="19"/>
  <c r="AI60" i="19"/>
  <c r="AI54" i="19"/>
  <c r="AI59" i="19"/>
  <c r="AH54" i="19"/>
  <c r="AI58" i="19"/>
  <c r="AG54" i="19"/>
  <c r="AH60" i="19"/>
  <c r="AI53" i="19"/>
  <c r="AH59" i="19"/>
  <c r="AH53" i="19"/>
  <c r="AH58" i="19"/>
  <c r="AG53" i="19"/>
  <c r="AJ51" i="19"/>
  <c r="AG60" i="19"/>
  <c r="AI52" i="19"/>
  <c r="AG59" i="19"/>
  <c r="AH52" i="19"/>
  <c r="AG58" i="19"/>
  <c r="AG52" i="19"/>
  <c r="AF61" i="19"/>
  <c r="AF60" i="19"/>
  <c r="AI51" i="19"/>
  <c r="AF59" i="19"/>
  <c r="AH51" i="19"/>
  <c r="AF58" i="19"/>
  <c r="AG51" i="19"/>
  <c r="AH21" i="19"/>
  <c r="AH20" i="19"/>
  <c r="AN20" i="19" s="1"/>
  <c r="AH19" i="19"/>
  <c r="AM20" i="19" s="1"/>
  <c r="AH18" i="19"/>
  <c r="AL20" i="19" s="1"/>
  <c r="L183" i="15"/>
  <c r="L525" i="15"/>
  <c r="L524" i="15"/>
  <c r="L523" i="15"/>
  <c r="L522" i="15"/>
  <c r="L521" i="15"/>
  <c r="L520" i="15"/>
  <c r="L519" i="15"/>
  <c r="L518" i="15"/>
  <c r="L517" i="15"/>
  <c r="L516" i="15"/>
  <c r="L515" i="15"/>
  <c r="L514" i="15"/>
  <c r="L513" i="15"/>
  <c r="L512" i="15"/>
  <c r="L511" i="15"/>
  <c r="L510" i="15"/>
  <c r="L509" i="15"/>
  <c r="L508" i="15"/>
  <c r="L507" i="15"/>
  <c r="L505" i="15"/>
  <c r="L504" i="15"/>
  <c r="L503" i="15"/>
  <c r="L502" i="15"/>
  <c r="L501" i="15"/>
  <c r="L500" i="15"/>
  <c r="L497" i="15"/>
  <c r="L496" i="15"/>
  <c r="L495" i="15"/>
  <c r="L494" i="15"/>
  <c r="L493" i="15"/>
  <c r="L492" i="15"/>
  <c r="L491" i="15"/>
  <c r="L490" i="15"/>
  <c r="L489" i="15"/>
  <c r="L488" i="15"/>
  <c r="L487" i="15"/>
  <c r="L486" i="15"/>
  <c r="L485" i="15"/>
  <c r="L484" i="15"/>
  <c r="L483" i="15"/>
  <c r="L482" i="15"/>
  <c r="L481" i="15"/>
  <c r="L480" i="15"/>
  <c r="L478" i="15"/>
  <c r="L477" i="15"/>
  <c r="L476" i="15"/>
  <c r="L475" i="15"/>
  <c r="L474" i="15"/>
  <c r="L473" i="15"/>
  <c r="L472" i="15"/>
  <c r="L471" i="15"/>
  <c r="L470" i="15"/>
  <c r="L469" i="15"/>
  <c r="L468" i="15"/>
  <c r="L467" i="15"/>
  <c r="L466" i="15"/>
  <c r="L465" i="15"/>
  <c r="L464" i="15"/>
  <c r="L463" i="15"/>
  <c r="L462" i="15"/>
  <c r="L461" i="15"/>
  <c r="L460" i="15"/>
  <c r="L459" i="15"/>
  <c r="L458" i="15"/>
  <c r="L457" i="15"/>
  <c r="M5" i="20"/>
  <c r="M20" i="20"/>
  <c r="M29" i="20"/>
  <c r="M28" i="20"/>
  <c r="M27" i="20"/>
  <c r="M26" i="20"/>
  <c r="M25" i="20"/>
  <c r="M24" i="20"/>
  <c r="M23" i="20"/>
  <c r="M22" i="20"/>
  <c r="M21" i="20"/>
  <c r="M19" i="20"/>
  <c r="M18" i="20"/>
  <c r="M17" i="20"/>
  <c r="M16" i="20"/>
  <c r="M15" i="20"/>
  <c r="M14" i="20"/>
  <c r="M13" i="20"/>
  <c r="M12" i="20"/>
  <c r="M11" i="20"/>
  <c r="M10" i="20"/>
  <c r="M9" i="20"/>
  <c r="M8" i="20"/>
  <c r="M7" i="20"/>
  <c r="M6" i="20"/>
  <c r="M4" i="20"/>
  <c r="M2" i="20"/>
  <c r="AO37" i="18"/>
  <c r="AO36" i="18"/>
  <c r="BR23" i="18"/>
  <c r="BP23" i="18"/>
  <c r="BN23" i="18"/>
  <c r="BL23" i="18"/>
  <c r="BJ23" i="18"/>
  <c r="BH23" i="18"/>
  <c r="BF23" i="18"/>
  <c r="BD23" i="18"/>
  <c r="BB23" i="18"/>
  <c r="AZ23" i="18"/>
  <c r="AX23" i="18"/>
  <c r="AV23" i="18"/>
  <c r="BR22" i="18"/>
  <c r="BP22" i="18"/>
  <c r="BN22" i="18"/>
  <c r="BL22" i="18"/>
  <c r="BJ22" i="18"/>
  <c r="BH22" i="18"/>
  <c r="BF22" i="18"/>
  <c r="BD22" i="18"/>
  <c r="BB22" i="18"/>
  <c r="AZ22" i="18"/>
  <c r="AX22" i="18"/>
  <c r="AV22" i="18"/>
  <c r="BS20" i="18"/>
  <c r="BR20" i="18"/>
  <c r="BQ20" i="18"/>
  <c r="BP20" i="18"/>
  <c r="BO20" i="18"/>
  <c r="BN20" i="18"/>
  <c r="BM20" i="18"/>
  <c r="BL20" i="18"/>
  <c r="BK20" i="18"/>
  <c r="BJ20" i="18"/>
  <c r="BI20" i="18"/>
  <c r="BH20" i="18"/>
  <c r="BG20" i="18"/>
  <c r="BF20" i="18"/>
  <c r="BE20" i="18"/>
  <c r="BD20" i="18"/>
  <c r="BC20" i="18"/>
  <c r="BB20" i="18"/>
  <c r="BA20" i="18"/>
  <c r="AZ20" i="18"/>
  <c r="AY20" i="18"/>
  <c r="AX20" i="18"/>
  <c r="AW20" i="18"/>
  <c r="AV20" i="18"/>
  <c r="BS19" i="18"/>
  <c r="BR19" i="18"/>
  <c r="BQ19" i="18"/>
  <c r="BP19" i="18"/>
  <c r="BO19" i="18"/>
  <c r="BN19" i="18"/>
  <c r="BM19" i="18"/>
  <c r="BL19" i="18"/>
  <c r="BK19" i="18"/>
  <c r="BJ19" i="18"/>
  <c r="BI19" i="18"/>
  <c r="BH19" i="18"/>
  <c r="BG19" i="18"/>
  <c r="BF19" i="18"/>
  <c r="BE19" i="18"/>
  <c r="BD19" i="18"/>
  <c r="BC19" i="18"/>
  <c r="BB19" i="18"/>
  <c r="BA19" i="18"/>
  <c r="AZ19" i="18"/>
  <c r="AY19" i="18"/>
  <c r="AX19" i="18"/>
  <c r="AW19" i="18"/>
  <c r="AV19" i="18"/>
  <c r="BR18" i="18"/>
  <c r="BP18" i="18"/>
  <c r="BN18" i="18"/>
  <c r="BL18" i="18"/>
  <c r="BJ18" i="18"/>
  <c r="BH18" i="18"/>
  <c r="BF18" i="18"/>
  <c r="BD18" i="18"/>
  <c r="BB18" i="18"/>
  <c r="AZ18" i="18"/>
  <c r="AX18" i="18"/>
  <c r="AV18" i="18"/>
  <c r="BS17" i="18"/>
  <c r="BR17" i="18"/>
  <c r="BQ17" i="18"/>
  <c r="BP17" i="18"/>
  <c r="BO17" i="18"/>
  <c r="BN17" i="18"/>
  <c r="BM17" i="18"/>
  <c r="BL17" i="18"/>
  <c r="BK17" i="18"/>
  <c r="BJ17" i="18"/>
  <c r="BI17" i="18"/>
  <c r="BH17" i="18"/>
  <c r="BG17" i="18"/>
  <c r="BF17" i="18"/>
  <c r="BE17" i="18"/>
  <c r="BD17" i="18"/>
  <c r="BC17" i="18"/>
  <c r="BB17" i="18"/>
  <c r="BA17" i="18"/>
  <c r="AZ17" i="18"/>
  <c r="AY17" i="18"/>
  <c r="AX17" i="18"/>
  <c r="AW17" i="18"/>
  <c r="AV17" i="18"/>
  <c r="BS16" i="18"/>
  <c r="BR16" i="18"/>
  <c r="BQ16" i="18"/>
  <c r="BP16" i="18"/>
  <c r="BO16" i="18"/>
  <c r="BN16" i="18"/>
  <c r="BM16" i="18"/>
  <c r="BL16" i="18"/>
  <c r="BK16" i="18"/>
  <c r="BJ16" i="18"/>
  <c r="BI16" i="18"/>
  <c r="BH16" i="18"/>
  <c r="BG16" i="18"/>
  <c r="BF16" i="18"/>
  <c r="BE16" i="18"/>
  <c r="BD16" i="18"/>
  <c r="BC16" i="18"/>
  <c r="BB16" i="18"/>
  <c r="BA16" i="18"/>
  <c r="AZ16" i="18"/>
  <c r="AY16" i="18"/>
  <c r="AX16" i="18"/>
  <c r="AW16" i="18"/>
  <c r="AV16" i="18"/>
  <c r="BS15" i="18"/>
  <c r="BR15" i="18"/>
  <c r="BQ15" i="18"/>
  <c r="BP15" i="18"/>
  <c r="BO15" i="18"/>
  <c r="BN15" i="18"/>
  <c r="BM15" i="18"/>
  <c r="BL15" i="18"/>
  <c r="BK15" i="18"/>
  <c r="BJ15" i="18"/>
  <c r="BI15" i="18"/>
  <c r="BH15" i="18"/>
  <c r="BG15" i="18"/>
  <c r="BF15" i="18"/>
  <c r="BE15" i="18"/>
  <c r="BD15" i="18"/>
  <c r="BC15" i="18"/>
  <c r="BB15" i="18"/>
  <c r="BA15" i="18"/>
  <c r="AZ15" i="18"/>
  <c r="AY15" i="18"/>
  <c r="AX15" i="18"/>
  <c r="AW15" i="18"/>
  <c r="AV15" i="18"/>
  <c r="BS14" i="18"/>
  <c r="BR14" i="18"/>
  <c r="BQ14" i="18"/>
  <c r="BP14" i="18"/>
  <c r="BO14" i="18"/>
  <c r="BN14" i="18"/>
  <c r="BM14" i="18"/>
  <c r="BL14" i="18"/>
  <c r="BK14" i="18"/>
  <c r="BJ14" i="18"/>
  <c r="BI14" i="18"/>
  <c r="BH14" i="18"/>
  <c r="BG14" i="18"/>
  <c r="BF14" i="18"/>
  <c r="BE14" i="18"/>
  <c r="BD14" i="18"/>
  <c r="BC14" i="18"/>
  <c r="BB14" i="18"/>
  <c r="BA14" i="18"/>
  <c r="AZ14" i="18"/>
  <c r="AY14" i="18"/>
  <c r="AX14" i="18"/>
  <c r="AW14" i="18"/>
  <c r="AV14" i="18"/>
  <c r="BR13" i="18"/>
  <c r="BP13" i="18"/>
  <c r="BN13" i="18"/>
  <c r="BL13" i="18"/>
  <c r="BJ13" i="18"/>
  <c r="BH13" i="18"/>
  <c r="BF13" i="18"/>
  <c r="BD13" i="18"/>
  <c r="BB13" i="18"/>
  <c r="AZ13" i="18"/>
  <c r="AX13" i="18"/>
  <c r="AV13" i="18"/>
  <c r="BS12" i="18"/>
  <c r="BR12" i="18"/>
  <c r="BQ12" i="18"/>
  <c r="BP12" i="18"/>
  <c r="BO12" i="18"/>
  <c r="BN12" i="18"/>
  <c r="BM12" i="18"/>
  <c r="BL12" i="18"/>
  <c r="BK12" i="18"/>
  <c r="BJ12" i="18"/>
  <c r="BI12" i="18"/>
  <c r="BH12" i="18"/>
  <c r="BG12" i="18"/>
  <c r="BF12" i="18"/>
  <c r="BE12" i="18"/>
  <c r="BD12" i="18"/>
  <c r="BC12" i="18"/>
  <c r="BB12" i="18"/>
  <c r="BA12" i="18"/>
  <c r="AZ12" i="18"/>
  <c r="AY12" i="18"/>
  <c r="AX12" i="18"/>
  <c r="AW12" i="18"/>
  <c r="AV12" i="18"/>
  <c r="BS11" i="18"/>
  <c r="BR11" i="18"/>
  <c r="BQ11" i="18"/>
  <c r="BP11" i="18"/>
  <c r="BO11" i="18"/>
  <c r="BN11" i="18"/>
  <c r="BM11" i="18"/>
  <c r="BL11" i="18"/>
  <c r="BK11" i="18"/>
  <c r="BJ11" i="18"/>
  <c r="BI11" i="18"/>
  <c r="BH11" i="18"/>
  <c r="BG11" i="18"/>
  <c r="BF11" i="18"/>
  <c r="BE11" i="18"/>
  <c r="BD11" i="18"/>
  <c r="BC11" i="18"/>
  <c r="BB11" i="18"/>
  <c r="BA11" i="18"/>
  <c r="AZ11" i="18"/>
  <c r="AY11" i="18"/>
  <c r="AX11" i="18"/>
  <c r="AW11" i="18"/>
  <c r="AV11" i="18"/>
  <c r="BS10" i="18"/>
  <c r="BR10" i="18"/>
  <c r="BQ10" i="18"/>
  <c r="BP10" i="18"/>
  <c r="BO10" i="18"/>
  <c r="BN10" i="18"/>
  <c r="BM10" i="18"/>
  <c r="BL10" i="18"/>
  <c r="BK10" i="18"/>
  <c r="BJ10" i="18"/>
  <c r="BI10" i="18"/>
  <c r="BH10" i="18"/>
  <c r="BG10" i="18"/>
  <c r="BF10" i="18"/>
  <c r="BE10" i="18"/>
  <c r="BD10" i="18"/>
  <c r="BC10" i="18"/>
  <c r="BB10" i="18"/>
  <c r="BA10" i="18"/>
  <c r="AZ10" i="18"/>
  <c r="AY10" i="18"/>
  <c r="AX10" i="18"/>
  <c r="AW10" i="18"/>
  <c r="AV10" i="18"/>
  <c r="BS9" i="18"/>
  <c r="BR9" i="18"/>
  <c r="BQ9" i="18"/>
  <c r="BP9" i="18"/>
  <c r="BO9" i="18"/>
  <c r="BN9" i="18"/>
  <c r="BM9" i="18"/>
  <c r="BL9" i="18"/>
  <c r="BK9" i="18"/>
  <c r="BJ9" i="18"/>
  <c r="BI9" i="18"/>
  <c r="BH9" i="18"/>
  <c r="BG9" i="18"/>
  <c r="BF9" i="18"/>
  <c r="BE9" i="18"/>
  <c r="BD9" i="18"/>
  <c r="BC9" i="18"/>
  <c r="BB9" i="18"/>
  <c r="BA9" i="18"/>
  <c r="AZ9" i="18"/>
  <c r="AY9" i="18"/>
  <c r="AX9" i="18"/>
  <c r="AW9" i="18"/>
  <c r="AV9" i="18"/>
  <c r="BR8" i="18"/>
  <c r="BP8" i="18"/>
  <c r="BN8" i="18"/>
  <c r="BL8" i="18"/>
  <c r="BJ8" i="18"/>
  <c r="BH8" i="18"/>
  <c r="BF8" i="18"/>
  <c r="BD8" i="18"/>
  <c r="BB8" i="18"/>
  <c r="AZ8" i="18"/>
  <c r="AX8" i="18"/>
  <c r="AV8" i="18"/>
  <c r="BS7" i="18"/>
  <c r="BR7" i="18"/>
  <c r="BQ7" i="18"/>
  <c r="BP7" i="18"/>
  <c r="BO7" i="18"/>
  <c r="BN7" i="18"/>
  <c r="BM7" i="18"/>
  <c r="BL7" i="18"/>
  <c r="BK7" i="18"/>
  <c r="BJ7" i="18"/>
  <c r="BI7" i="18"/>
  <c r="BH7" i="18"/>
  <c r="BG7" i="18"/>
  <c r="BF7" i="18"/>
  <c r="BE7" i="18"/>
  <c r="BD7" i="18"/>
  <c r="BC7" i="18"/>
  <c r="BB7" i="18"/>
  <c r="BA7" i="18"/>
  <c r="AZ7" i="18"/>
  <c r="AY7" i="18"/>
  <c r="AX7" i="18"/>
  <c r="AW7" i="18"/>
  <c r="AV7" i="18"/>
  <c r="BS6" i="18"/>
  <c r="BR6" i="18"/>
  <c r="BQ6" i="18"/>
  <c r="BP6" i="18"/>
  <c r="BO6" i="18"/>
  <c r="BN6" i="18"/>
  <c r="BM6" i="18"/>
  <c r="BL6" i="18"/>
  <c r="BK6" i="18"/>
  <c r="BJ6" i="18"/>
  <c r="BI6" i="18"/>
  <c r="BH6" i="18"/>
  <c r="BG6" i="18"/>
  <c r="BF6" i="18"/>
  <c r="BE6" i="18"/>
  <c r="BD6" i="18"/>
  <c r="BC6" i="18"/>
  <c r="BB6" i="18"/>
  <c r="BA6" i="18"/>
  <c r="AZ6" i="18"/>
  <c r="AY6" i="18"/>
  <c r="AX6" i="18"/>
  <c r="AW6" i="18"/>
  <c r="AV6" i="18"/>
  <c r="BS5" i="18"/>
  <c r="BR5" i="18"/>
  <c r="BQ5" i="18"/>
  <c r="BP5" i="18"/>
  <c r="BO5" i="18"/>
  <c r="BN5" i="18"/>
  <c r="BM5" i="18"/>
  <c r="BL5" i="18"/>
  <c r="BK5" i="18"/>
  <c r="BJ5" i="18"/>
  <c r="BI5" i="18"/>
  <c r="BH5" i="18"/>
  <c r="BG5" i="18"/>
  <c r="BF5" i="18"/>
  <c r="BE5" i="18"/>
  <c r="BD5" i="18"/>
  <c r="BC5" i="18"/>
  <c r="BB5" i="18"/>
  <c r="BA5" i="18"/>
  <c r="AZ5" i="18"/>
  <c r="AY5" i="18"/>
  <c r="AX5" i="18"/>
  <c r="AW5" i="18"/>
  <c r="AV5" i="18"/>
  <c r="BS4" i="18"/>
  <c r="BR4" i="18"/>
  <c r="BQ4" i="18"/>
  <c r="BP4" i="18"/>
  <c r="BO4" i="18"/>
  <c r="BN4" i="18"/>
  <c r="BM4" i="18"/>
  <c r="BL4" i="18"/>
  <c r="BK4" i="18"/>
  <c r="BJ4" i="18"/>
  <c r="BI4" i="18"/>
  <c r="BH4" i="18"/>
  <c r="BG4" i="18"/>
  <c r="BF4" i="18"/>
  <c r="BE4" i="18"/>
  <c r="BD4" i="18"/>
  <c r="BC4" i="18"/>
  <c r="BB4" i="18"/>
  <c r="BA4" i="18"/>
  <c r="AZ4" i="18"/>
  <c r="AY4" i="18"/>
  <c r="AX4" i="18"/>
  <c r="AW4" i="18"/>
  <c r="AV4" i="18"/>
  <c r="BR3" i="18"/>
  <c r="BP3" i="18"/>
  <c r="BN3" i="18"/>
  <c r="BL3" i="18"/>
  <c r="BJ3" i="18"/>
  <c r="BH3" i="18"/>
  <c r="BF3" i="18"/>
  <c r="BD3" i="18"/>
  <c r="BB3" i="18"/>
  <c r="AZ3" i="18"/>
  <c r="AX3" i="18"/>
  <c r="AV3" i="18"/>
  <c r="AO37" i="19"/>
  <c r="AO36" i="19"/>
  <c r="BR23" i="19"/>
  <c r="BP23" i="19"/>
  <c r="BN23" i="19"/>
  <c r="BL23" i="19"/>
  <c r="BJ23" i="19"/>
  <c r="BH23" i="19"/>
  <c r="BF23" i="19"/>
  <c r="BD23" i="19"/>
  <c r="BB23" i="19"/>
  <c r="AZ23" i="19"/>
  <c r="AX23" i="19"/>
  <c r="AV23" i="19"/>
  <c r="BR22" i="19"/>
  <c r="BP22" i="19"/>
  <c r="BN22" i="19"/>
  <c r="BL22" i="19"/>
  <c r="BJ22" i="19"/>
  <c r="BH22" i="19"/>
  <c r="BF22" i="19"/>
  <c r="BD22" i="19"/>
  <c r="BB22" i="19"/>
  <c r="AZ22" i="19"/>
  <c r="AX22" i="19"/>
  <c r="AV22" i="19"/>
  <c r="BS20" i="19"/>
  <c r="BR20" i="19"/>
  <c r="BQ20" i="19"/>
  <c r="BP20" i="19"/>
  <c r="BO20" i="19"/>
  <c r="BN20" i="19"/>
  <c r="BM20" i="19"/>
  <c r="BL20" i="19"/>
  <c r="BK20" i="19"/>
  <c r="BJ20" i="19"/>
  <c r="BI20" i="19"/>
  <c r="BH20" i="19"/>
  <c r="BG20" i="19"/>
  <c r="BF20" i="19"/>
  <c r="BE20" i="19"/>
  <c r="BD20" i="19"/>
  <c r="BC20" i="19"/>
  <c r="BB20" i="19"/>
  <c r="BA20" i="19"/>
  <c r="AZ20" i="19"/>
  <c r="AY20" i="19"/>
  <c r="AX20" i="19"/>
  <c r="AW20" i="19"/>
  <c r="AV20" i="19"/>
  <c r="BS19" i="19"/>
  <c r="BR19" i="19"/>
  <c r="BQ19" i="19"/>
  <c r="BP19" i="19"/>
  <c r="BO19" i="19"/>
  <c r="BN19" i="19"/>
  <c r="BM19" i="19"/>
  <c r="BL19" i="19"/>
  <c r="BK19" i="19"/>
  <c r="BJ19" i="19"/>
  <c r="BI19" i="19"/>
  <c r="BH19" i="19"/>
  <c r="BG19" i="19"/>
  <c r="BF19" i="19"/>
  <c r="BE19" i="19"/>
  <c r="BD19" i="19"/>
  <c r="BC19" i="19"/>
  <c r="BB19" i="19"/>
  <c r="BA19" i="19"/>
  <c r="AZ19" i="19"/>
  <c r="AY19" i="19"/>
  <c r="AX19" i="19"/>
  <c r="AW19" i="19"/>
  <c r="AV19" i="19"/>
  <c r="BR18" i="19"/>
  <c r="BP18" i="19"/>
  <c r="BN18" i="19"/>
  <c r="BL18" i="19"/>
  <c r="BJ18" i="19"/>
  <c r="BH18" i="19"/>
  <c r="BF18" i="19"/>
  <c r="BD18" i="19"/>
  <c r="BB18" i="19"/>
  <c r="AZ18" i="19"/>
  <c r="AX18" i="19"/>
  <c r="AV18" i="19"/>
  <c r="BS17" i="19"/>
  <c r="BR17" i="19"/>
  <c r="BQ17" i="19"/>
  <c r="BP17" i="19"/>
  <c r="BO17" i="19"/>
  <c r="BN17" i="19"/>
  <c r="BM17" i="19"/>
  <c r="BL17" i="19"/>
  <c r="BK17" i="19"/>
  <c r="BJ17" i="19"/>
  <c r="BI17" i="19"/>
  <c r="BH17" i="19"/>
  <c r="BG17" i="19"/>
  <c r="BF17" i="19"/>
  <c r="BE17" i="19"/>
  <c r="BD17" i="19"/>
  <c r="BC17" i="19"/>
  <c r="BB17" i="19"/>
  <c r="BA17" i="19"/>
  <c r="AZ17" i="19"/>
  <c r="AY17" i="19"/>
  <c r="AX17" i="19"/>
  <c r="AW17" i="19"/>
  <c r="AV17" i="19"/>
  <c r="BS16" i="19"/>
  <c r="BR16" i="19"/>
  <c r="BQ16" i="19"/>
  <c r="BP16" i="19"/>
  <c r="BO16" i="19"/>
  <c r="BN16" i="19"/>
  <c r="BM16" i="19"/>
  <c r="BL16" i="19"/>
  <c r="BK16" i="19"/>
  <c r="BJ16" i="19"/>
  <c r="BI16" i="19"/>
  <c r="BH16" i="19"/>
  <c r="BG16" i="19"/>
  <c r="BF16" i="19"/>
  <c r="BE16" i="19"/>
  <c r="BD16" i="19"/>
  <c r="BC16" i="19"/>
  <c r="BB16" i="19"/>
  <c r="BA16" i="19"/>
  <c r="AZ16" i="19"/>
  <c r="AY16" i="19"/>
  <c r="AX16" i="19"/>
  <c r="AW16" i="19"/>
  <c r="AV16" i="19"/>
  <c r="BS15" i="19"/>
  <c r="BR15" i="19"/>
  <c r="BQ15" i="19"/>
  <c r="BP15" i="19"/>
  <c r="BO15" i="19"/>
  <c r="BN15" i="19"/>
  <c r="BM15" i="19"/>
  <c r="BL15" i="19"/>
  <c r="BK15" i="19"/>
  <c r="BJ15" i="19"/>
  <c r="BI15" i="19"/>
  <c r="BH15" i="19"/>
  <c r="BG15" i="19"/>
  <c r="BF15" i="19"/>
  <c r="BE15" i="19"/>
  <c r="BD15" i="19"/>
  <c r="BC15" i="19"/>
  <c r="BB15" i="19"/>
  <c r="BA15" i="19"/>
  <c r="AZ15" i="19"/>
  <c r="AY15" i="19"/>
  <c r="AX15" i="19"/>
  <c r="AW15" i="19"/>
  <c r="AV15" i="19"/>
  <c r="BS14" i="19"/>
  <c r="BR14" i="19"/>
  <c r="BQ14" i="19"/>
  <c r="BP14" i="19"/>
  <c r="BO14" i="19"/>
  <c r="BN14" i="19"/>
  <c r="BM14" i="19"/>
  <c r="BL14" i="19"/>
  <c r="BK14" i="19"/>
  <c r="BJ14" i="19"/>
  <c r="BI14" i="19"/>
  <c r="BH14" i="19"/>
  <c r="BG14" i="19"/>
  <c r="BF14" i="19"/>
  <c r="BE14" i="19"/>
  <c r="BD14" i="19"/>
  <c r="BC14" i="19"/>
  <c r="BB14" i="19"/>
  <c r="BA14" i="19"/>
  <c r="AZ14" i="19"/>
  <c r="AY14" i="19"/>
  <c r="AX14" i="19"/>
  <c r="AW14" i="19"/>
  <c r="AV14" i="19"/>
  <c r="BR13" i="19"/>
  <c r="BP13" i="19"/>
  <c r="BN13" i="19"/>
  <c r="BL13" i="19"/>
  <c r="BJ13" i="19"/>
  <c r="BH13" i="19"/>
  <c r="BF13" i="19"/>
  <c r="BD13" i="19"/>
  <c r="BB13" i="19"/>
  <c r="AZ13" i="19"/>
  <c r="AX13" i="19"/>
  <c r="AV13" i="19"/>
  <c r="BS12" i="19"/>
  <c r="BR12" i="19"/>
  <c r="BQ12" i="19"/>
  <c r="BP12" i="19"/>
  <c r="BO12" i="19"/>
  <c r="BN12" i="19"/>
  <c r="BM12" i="19"/>
  <c r="BL12" i="19"/>
  <c r="BK12" i="19"/>
  <c r="BJ12" i="19"/>
  <c r="BI12" i="19"/>
  <c r="BH12" i="19"/>
  <c r="BG12" i="19"/>
  <c r="BF12" i="19"/>
  <c r="BE12" i="19"/>
  <c r="BD12" i="19"/>
  <c r="BC12" i="19"/>
  <c r="BB12" i="19"/>
  <c r="BA12" i="19"/>
  <c r="AZ12" i="19"/>
  <c r="AY12" i="19"/>
  <c r="AX12" i="19"/>
  <c r="AW12" i="19"/>
  <c r="AV12" i="19"/>
  <c r="BS11" i="19"/>
  <c r="BR11" i="19"/>
  <c r="BQ11" i="19"/>
  <c r="BP11" i="19"/>
  <c r="BO11" i="19"/>
  <c r="BN11" i="19"/>
  <c r="BM11" i="19"/>
  <c r="BL11" i="19"/>
  <c r="BK11" i="19"/>
  <c r="BJ11" i="19"/>
  <c r="BI11" i="19"/>
  <c r="BH11" i="19"/>
  <c r="BG11" i="19"/>
  <c r="BF11" i="19"/>
  <c r="BE11" i="19"/>
  <c r="BD11" i="19"/>
  <c r="BC11" i="19"/>
  <c r="BB11" i="19"/>
  <c r="BA11" i="19"/>
  <c r="AZ11" i="19"/>
  <c r="AY11" i="19"/>
  <c r="AX11" i="19"/>
  <c r="AW11" i="19"/>
  <c r="AV11" i="19"/>
  <c r="BS10" i="19"/>
  <c r="BR10" i="19"/>
  <c r="BQ10" i="19"/>
  <c r="BP10" i="19"/>
  <c r="BO10" i="19"/>
  <c r="BN10" i="19"/>
  <c r="BM10" i="19"/>
  <c r="BL10" i="19"/>
  <c r="BK10" i="19"/>
  <c r="BJ10" i="19"/>
  <c r="BI10" i="19"/>
  <c r="BH10" i="19"/>
  <c r="BG10" i="19"/>
  <c r="BF10" i="19"/>
  <c r="BE10" i="19"/>
  <c r="BD10" i="19"/>
  <c r="BC10" i="19"/>
  <c r="BB10" i="19"/>
  <c r="BA10" i="19"/>
  <c r="AZ10" i="19"/>
  <c r="AY10" i="19"/>
  <c r="AX10" i="19"/>
  <c r="AW10" i="19"/>
  <c r="AV10" i="19"/>
  <c r="BS9" i="19"/>
  <c r="BR9" i="19"/>
  <c r="BQ9" i="19"/>
  <c r="BP9" i="19"/>
  <c r="BO9" i="19"/>
  <c r="BN9" i="19"/>
  <c r="BM9" i="19"/>
  <c r="BL9" i="19"/>
  <c r="BK9" i="19"/>
  <c r="BJ9" i="19"/>
  <c r="BI9" i="19"/>
  <c r="BH9" i="19"/>
  <c r="BG9" i="19"/>
  <c r="BF9" i="19"/>
  <c r="BE9" i="19"/>
  <c r="BD9" i="19"/>
  <c r="BC9" i="19"/>
  <c r="BB9" i="19"/>
  <c r="BA9" i="19"/>
  <c r="AZ9" i="19"/>
  <c r="AY9" i="19"/>
  <c r="AX9" i="19"/>
  <c r="AW9" i="19"/>
  <c r="AV9" i="19"/>
  <c r="BR8" i="19"/>
  <c r="BP8" i="19"/>
  <c r="BN8" i="19"/>
  <c r="BL8" i="19"/>
  <c r="BJ8" i="19"/>
  <c r="BH8" i="19"/>
  <c r="BF8" i="19"/>
  <c r="BD8" i="19"/>
  <c r="BB8" i="19"/>
  <c r="AZ8" i="19"/>
  <c r="AX8" i="19"/>
  <c r="AV8" i="19"/>
  <c r="BS7" i="19"/>
  <c r="BR7" i="19"/>
  <c r="BQ7" i="19"/>
  <c r="BP7" i="19"/>
  <c r="BO7" i="19"/>
  <c r="BN7" i="19"/>
  <c r="BM7" i="19"/>
  <c r="BL7" i="19"/>
  <c r="BK7" i="19"/>
  <c r="BJ7" i="19"/>
  <c r="BI7" i="19"/>
  <c r="BH7" i="19"/>
  <c r="BG7" i="19"/>
  <c r="BF7" i="19"/>
  <c r="BE7" i="19"/>
  <c r="BD7" i="19"/>
  <c r="BC7" i="19"/>
  <c r="BB7" i="19"/>
  <c r="BA7" i="19"/>
  <c r="AZ7" i="19"/>
  <c r="AY7" i="19"/>
  <c r="AX7" i="19"/>
  <c r="AW7" i="19"/>
  <c r="AV7" i="19"/>
  <c r="BS6" i="19"/>
  <c r="BR6" i="19"/>
  <c r="BQ6" i="19"/>
  <c r="BP6" i="19"/>
  <c r="BO6" i="19"/>
  <c r="BN6" i="19"/>
  <c r="BM6" i="19"/>
  <c r="BL6" i="19"/>
  <c r="BK6" i="19"/>
  <c r="BJ6" i="19"/>
  <c r="BI6" i="19"/>
  <c r="BH6" i="19"/>
  <c r="BG6" i="19"/>
  <c r="BF6" i="19"/>
  <c r="BE6" i="19"/>
  <c r="BD6" i="19"/>
  <c r="BC6" i="19"/>
  <c r="BB6" i="19"/>
  <c r="BA6" i="19"/>
  <c r="AZ6" i="19"/>
  <c r="AY6" i="19"/>
  <c r="AX6" i="19"/>
  <c r="AW6" i="19"/>
  <c r="AV6" i="19"/>
  <c r="BS5" i="19"/>
  <c r="BR5" i="19"/>
  <c r="BQ5" i="19"/>
  <c r="BP5" i="19"/>
  <c r="BO5" i="19"/>
  <c r="BN5" i="19"/>
  <c r="BM5" i="19"/>
  <c r="BL5" i="19"/>
  <c r="BK5" i="19"/>
  <c r="BJ5" i="19"/>
  <c r="BI5" i="19"/>
  <c r="BH5" i="19"/>
  <c r="BG5" i="19"/>
  <c r="BF5" i="19"/>
  <c r="BE5" i="19"/>
  <c r="BD5" i="19"/>
  <c r="BC5" i="19"/>
  <c r="BB5" i="19"/>
  <c r="BA5" i="19"/>
  <c r="AZ5" i="19"/>
  <c r="AY5" i="19"/>
  <c r="AX5" i="19"/>
  <c r="AW5" i="19"/>
  <c r="AV5" i="19"/>
  <c r="BS4" i="19"/>
  <c r="BR4" i="19"/>
  <c r="BQ4" i="19"/>
  <c r="BP4" i="19"/>
  <c r="BO4" i="19"/>
  <c r="BN4" i="19"/>
  <c r="BM4" i="19"/>
  <c r="BL4" i="19"/>
  <c r="BK4" i="19"/>
  <c r="BJ4" i="19"/>
  <c r="BI4" i="19"/>
  <c r="BH4" i="19"/>
  <c r="BG4" i="19"/>
  <c r="BF4" i="19"/>
  <c r="BE4" i="19"/>
  <c r="BD4" i="19"/>
  <c r="BC4" i="19"/>
  <c r="AI24" i="19"/>
  <c r="BB4" i="19"/>
  <c r="BA4" i="19"/>
  <c r="AZ4" i="19"/>
  <c r="AY4" i="19"/>
  <c r="AX4" i="19"/>
  <c r="AW4" i="19"/>
  <c r="AV4" i="19"/>
  <c r="BR3" i="19"/>
  <c r="BP3" i="19"/>
  <c r="BN3" i="19"/>
  <c r="BL3" i="19"/>
  <c r="BJ3" i="19"/>
  <c r="BH3" i="19"/>
  <c r="BF3" i="19"/>
  <c r="BD3" i="19"/>
  <c r="BB3" i="19"/>
  <c r="AZ3" i="19"/>
  <c r="AX3" i="19"/>
  <c r="AV3" i="19"/>
  <c r="L415" i="15"/>
  <c r="L416" i="15"/>
  <c r="L417" i="15"/>
  <c r="L418" i="15"/>
  <c r="L419" i="15"/>
  <c r="L420" i="15"/>
  <c r="L421" i="15"/>
  <c r="L422" i="15"/>
  <c r="L409" i="15"/>
  <c r="L423" i="15"/>
  <c r="L449" i="15"/>
  <c r="L450" i="15"/>
  <c r="L451" i="15"/>
  <c r="L452" i="15"/>
  <c r="L453" i="15"/>
  <c r="L454" i="15"/>
  <c r="L455" i="15"/>
  <c r="L456" i="15"/>
  <c r="L73" i="15"/>
  <c r="L182" i="15"/>
  <c r="L72" i="15"/>
  <c r="L71" i="15"/>
  <c r="L296" i="15"/>
  <c r="L295" i="15"/>
  <c r="L334" i="15"/>
  <c r="L294" i="15"/>
  <c r="L411" i="15"/>
  <c r="L410" i="15"/>
  <c r="L408" i="15"/>
  <c r="L407" i="15"/>
  <c r="L406" i="15"/>
  <c r="L405" i="15"/>
  <c r="L404" i="15"/>
  <c r="L403" i="15"/>
  <c r="L402" i="15"/>
  <c r="L401" i="15"/>
  <c r="L400" i="15"/>
  <c r="L399" i="15"/>
  <c r="L398" i="15"/>
  <c r="L397" i="15"/>
  <c r="L396" i="15"/>
  <c r="L395" i="15"/>
  <c r="L394" i="15"/>
  <c r="L393" i="15"/>
  <c r="L392" i="15"/>
  <c r="L391" i="15"/>
  <c r="L390" i="15"/>
  <c r="L389" i="15"/>
  <c r="L388" i="15"/>
  <c r="L387" i="15"/>
  <c r="L386" i="15"/>
  <c r="L385" i="15"/>
  <c r="L384" i="15"/>
  <c r="L383" i="15"/>
  <c r="L382" i="15"/>
  <c r="L381" i="15"/>
  <c r="L380" i="15"/>
  <c r="L379" i="15"/>
  <c r="L378" i="15"/>
  <c r="L377" i="15"/>
  <c r="L376" i="15"/>
  <c r="L375" i="15"/>
  <c r="L374" i="15"/>
  <c r="L373" i="15"/>
  <c r="L372" i="15"/>
  <c r="L371" i="15"/>
  <c r="L370" i="15"/>
  <c r="L369" i="15"/>
  <c r="L368" i="15"/>
  <c r="L367" i="15"/>
  <c r="L366" i="15"/>
  <c r="L365" i="15"/>
  <c r="L364" i="15"/>
  <c r="L363" i="15"/>
  <c r="L361" i="15"/>
  <c r="L360" i="15"/>
  <c r="L359" i="15"/>
  <c r="L357" i="15"/>
  <c r="L356" i="15"/>
  <c r="L355" i="15"/>
  <c r="L354" i="15"/>
  <c r="L352" i="15"/>
  <c r="L350" i="15"/>
  <c r="L349" i="15"/>
  <c r="L348" i="15"/>
  <c r="L347" i="15"/>
  <c r="L413" i="15"/>
  <c r="L412" i="15"/>
  <c r="L414" i="15"/>
  <c r="AR31" i="18"/>
  <c r="D2" i="18"/>
  <c r="AS6" i="19"/>
  <c r="AS5" i="19"/>
  <c r="AS4" i="19"/>
  <c r="AS3" i="19"/>
  <c r="AI21" i="19"/>
  <c r="AI20" i="19"/>
  <c r="AI19" i="19"/>
  <c r="AI18" i="19"/>
  <c r="AQ6" i="19"/>
  <c r="AQ5" i="19"/>
  <c r="AQ4" i="19"/>
  <c r="AQ3" i="19"/>
  <c r="AP6" i="19"/>
  <c r="AP5" i="19"/>
  <c r="AP4" i="19"/>
  <c r="AP3" i="19"/>
  <c r="AO6" i="19"/>
  <c r="AO5" i="19"/>
  <c r="AO4" i="19"/>
  <c r="AO3" i="19"/>
  <c r="AN6" i="19"/>
  <c r="AN5" i="19"/>
  <c r="AN4" i="19"/>
  <c r="AN3" i="19"/>
  <c r="AM6" i="19"/>
  <c r="AM5" i="19"/>
  <c r="AM4" i="19"/>
  <c r="AM3" i="19"/>
  <c r="AL6" i="19"/>
  <c r="AL5" i="19"/>
  <c r="AL4" i="19"/>
  <c r="AL3" i="19"/>
  <c r="AK6" i="19"/>
  <c r="AK5" i="19"/>
  <c r="AK4" i="19"/>
  <c r="AK3" i="19"/>
  <c r="AJ6" i="19"/>
  <c r="AJ5" i="19"/>
  <c r="AJ4" i="19"/>
  <c r="AJ3" i="19"/>
  <c r="AI6" i="19"/>
  <c r="AI5" i="19"/>
  <c r="AI4" i="19"/>
  <c r="AI3" i="19"/>
  <c r="AH6" i="19"/>
  <c r="AH5" i="19"/>
  <c r="AH4" i="19"/>
  <c r="AH3" i="19"/>
  <c r="AG6" i="19"/>
  <c r="AG5" i="19"/>
  <c r="AG4" i="19"/>
  <c r="AG3" i="19"/>
  <c r="AF6" i="19"/>
  <c r="AF5" i="19"/>
  <c r="AF4" i="19"/>
  <c r="AF3" i="19"/>
  <c r="AF2" i="19"/>
  <c r="AQ12" i="19"/>
  <c r="AP12" i="19"/>
  <c r="AO12" i="19"/>
  <c r="AN12" i="19"/>
  <c r="AM12" i="19"/>
  <c r="AL12" i="19"/>
  <c r="AK12" i="19"/>
  <c r="AJ12" i="19"/>
  <c r="AI12" i="19"/>
  <c r="AH12" i="19"/>
  <c r="AG12" i="19"/>
  <c r="AF12" i="19"/>
  <c r="AQ9" i="19"/>
  <c r="AQ8" i="19"/>
  <c r="AQ7" i="19"/>
  <c r="AP9" i="19"/>
  <c r="AP8" i="19"/>
  <c r="AP7" i="19"/>
  <c r="AO9" i="19"/>
  <c r="AO8" i="19"/>
  <c r="AO7" i="19"/>
  <c r="AN9" i="19"/>
  <c r="AN8" i="19"/>
  <c r="AN7" i="19"/>
  <c r="AM9" i="19"/>
  <c r="AM8" i="19"/>
  <c r="AM7" i="19"/>
  <c r="AL9" i="19"/>
  <c r="AL8" i="19"/>
  <c r="AL7" i="19"/>
  <c r="AK9" i="19"/>
  <c r="AK8" i="19"/>
  <c r="AK7" i="19"/>
  <c r="AJ9" i="19"/>
  <c r="AJ8" i="19"/>
  <c r="AJ7" i="19"/>
  <c r="AI9" i="19"/>
  <c r="AI8" i="19"/>
  <c r="AI7" i="19"/>
  <c r="AH9" i="19"/>
  <c r="AH8" i="19"/>
  <c r="AH7" i="19"/>
  <c r="AG9" i="19"/>
  <c r="AG8" i="19"/>
  <c r="AG7" i="19"/>
  <c r="AF9" i="19"/>
  <c r="AR9" i="19" s="1"/>
  <c r="AF8" i="19"/>
  <c r="AR8" i="19" s="1"/>
  <c r="AF7" i="19"/>
  <c r="AR7" i="19" s="1"/>
  <c r="AQ2" i="19"/>
  <c r="AP2" i="19"/>
  <c r="AO2" i="19"/>
  <c r="AN2" i="19"/>
  <c r="AM2" i="19"/>
  <c r="AL2" i="19"/>
  <c r="AK2" i="19"/>
  <c r="AJ2" i="19"/>
  <c r="AI2" i="19"/>
  <c r="AH2" i="19"/>
  <c r="AG2" i="19"/>
  <c r="D2" i="19"/>
  <c r="D4" i="19"/>
  <c r="AF13" i="19"/>
  <c r="AG13" i="19"/>
  <c r="AH13" i="19"/>
  <c r="AI13" i="19"/>
  <c r="AJ13" i="19"/>
  <c r="AK13" i="19"/>
  <c r="AL13" i="19"/>
  <c r="AM13" i="19"/>
  <c r="AN13" i="19"/>
  <c r="AO13" i="19"/>
  <c r="AP13" i="19"/>
  <c r="AQ13" i="19"/>
  <c r="AF14" i="19"/>
  <c r="AG14" i="19"/>
  <c r="AH14" i="19"/>
  <c r="AI14" i="19"/>
  <c r="AJ14" i="19"/>
  <c r="AK14" i="19"/>
  <c r="AL14" i="19"/>
  <c r="AM14" i="19"/>
  <c r="AN14" i="19"/>
  <c r="AO14" i="19"/>
  <c r="AP14" i="19"/>
  <c r="AQ14" i="19"/>
  <c r="AF15" i="19"/>
  <c r="AG15" i="19"/>
  <c r="AH15" i="19"/>
  <c r="AI15" i="19"/>
  <c r="AJ15" i="19"/>
  <c r="AK15" i="19"/>
  <c r="AL15" i="19"/>
  <c r="AM15" i="19"/>
  <c r="AN15" i="19"/>
  <c r="AO15" i="19"/>
  <c r="AP15" i="19"/>
  <c r="AQ15" i="19"/>
  <c r="AG18" i="19"/>
  <c r="AL19" i="19" s="1"/>
  <c r="AG19" i="19"/>
  <c r="AM19" i="19" s="1"/>
  <c r="AG20" i="19"/>
  <c r="AN19" i="19" s="1"/>
  <c r="AG21" i="19"/>
  <c r="AO19" i="19" s="1"/>
  <c r="AO20" i="19"/>
  <c r="AO21" i="19"/>
  <c r="AN21" i="19"/>
  <c r="AM21" i="19"/>
  <c r="AL21" i="19"/>
  <c r="BO8" i="19"/>
  <c r="BI8" i="19"/>
  <c r="BC8" i="19"/>
  <c r="AW8" i="19"/>
  <c r="BS8" i="19"/>
  <c r="BQ8" i="19"/>
  <c r="BM8" i="19"/>
  <c r="BK8" i="19"/>
  <c r="BG8" i="19"/>
  <c r="BE8" i="19"/>
  <c r="BA8" i="19"/>
  <c r="AY8" i="19"/>
  <c r="AP25" i="19"/>
  <c r="AO27" i="19"/>
  <c r="AO33" i="19"/>
  <c r="AM25" i="19"/>
  <c r="AL27" i="19"/>
  <c r="AL33" i="19"/>
  <c r="AJ25" i="19"/>
  <c r="AI27" i="19"/>
  <c r="AI33" i="19"/>
  <c r="AG25" i="19"/>
  <c r="AF27" i="19"/>
  <c r="AF33" i="19"/>
  <c r="AQ24" i="19"/>
  <c r="AQ26" i="19"/>
  <c r="AQ32" i="19" s="1"/>
  <c r="AP24" i="19"/>
  <c r="AP26" i="19"/>
  <c r="AP32" i="19" s="1"/>
  <c r="AO24" i="19"/>
  <c r="AO26" i="19"/>
  <c r="AO32" i="19" s="1"/>
  <c r="AN24" i="19"/>
  <c r="AN26" i="19"/>
  <c r="AN32" i="19" s="1"/>
  <c r="AM24" i="19"/>
  <c r="AM26" i="19"/>
  <c r="AM32" i="19" s="1"/>
  <c r="AL24" i="19"/>
  <c r="AL26" i="19"/>
  <c r="AL32" i="19" s="1"/>
  <c r="AK24" i="19"/>
  <c r="AK26" i="19"/>
  <c r="AK32" i="19" s="1"/>
  <c r="AJ24" i="19"/>
  <c r="AJ26" i="19"/>
  <c r="AJ32" i="19" s="1"/>
  <c r="AI26" i="19"/>
  <c r="AI32" i="19"/>
  <c r="AH24" i="19"/>
  <c r="AH26" i="19"/>
  <c r="AH32" i="19"/>
  <c r="AG24" i="19"/>
  <c r="AG26" i="19"/>
  <c r="AG32" i="19"/>
  <c r="AF24" i="19"/>
  <c r="AF26" i="19"/>
  <c r="AF32" i="19"/>
  <c r="BS3" i="19"/>
  <c r="BQ3" i="19"/>
  <c r="BO3" i="19"/>
  <c r="BM3" i="19"/>
  <c r="BK3" i="19"/>
  <c r="BI3" i="19"/>
  <c r="BG3" i="19"/>
  <c r="BG25" i="19" s="1"/>
  <c r="BE3" i="19"/>
  <c r="BC3" i="19"/>
  <c r="BC25" i="19" s="1"/>
  <c r="BA3" i="19"/>
  <c r="AY3" i="19"/>
  <c r="AW3" i="19"/>
  <c r="AW25" i="19" s="1"/>
  <c r="D4" i="18"/>
  <c r="AH21" i="18"/>
  <c r="AO20" i="18" s="1"/>
  <c r="AG21" i="18"/>
  <c r="AO19" i="18" s="1"/>
  <c r="AH19" i="18"/>
  <c r="AM20" i="18" s="1"/>
  <c r="AH20" i="18"/>
  <c r="AN20" i="18" s="1"/>
  <c r="AG20" i="18"/>
  <c r="AN19" i="18" s="1"/>
  <c r="AG19" i="18"/>
  <c r="AM19" i="18" s="1"/>
  <c r="AH18" i="18"/>
  <c r="AL20" i="18" s="1"/>
  <c r="AG18" i="18"/>
  <c r="AL19" i="18" s="1"/>
  <c r="AI21" i="18"/>
  <c r="AO21" i="18" s="1"/>
  <c r="AS6" i="18"/>
  <c r="AI20" i="18"/>
  <c r="AN21" i="18" s="1"/>
  <c r="AS5" i="18"/>
  <c r="AI19" i="18"/>
  <c r="AM21" i="18" s="1"/>
  <c r="AS4" i="18"/>
  <c r="AI18" i="18"/>
  <c r="AL21" i="18" s="1"/>
  <c r="AS3" i="18"/>
  <c r="AQ12" i="18"/>
  <c r="AP12" i="18"/>
  <c r="AO12" i="18"/>
  <c r="AN12" i="18"/>
  <c r="AM12" i="18"/>
  <c r="AL12" i="18"/>
  <c r="AK12" i="18"/>
  <c r="AJ12" i="18"/>
  <c r="AI12" i="18"/>
  <c r="AH12" i="18"/>
  <c r="AG12" i="18"/>
  <c r="AF12" i="18"/>
  <c r="AQ15" i="18"/>
  <c r="AP15" i="18"/>
  <c r="AO15" i="18"/>
  <c r="AN15" i="18"/>
  <c r="AM15" i="18"/>
  <c r="AL15" i="18"/>
  <c r="AK15" i="18"/>
  <c r="AJ15" i="18"/>
  <c r="AI15" i="18"/>
  <c r="AH15" i="18"/>
  <c r="AG15" i="18"/>
  <c r="AF15" i="18"/>
  <c r="AQ14" i="18"/>
  <c r="AP14" i="18"/>
  <c r="AO14" i="18"/>
  <c r="AN14" i="18"/>
  <c r="AM14" i="18"/>
  <c r="AL14" i="18"/>
  <c r="AK14" i="18"/>
  <c r="AJ14" i="18"/>
  <c r="AI14" i="18"/>
  <c r="AH14" i="18"/>
  <c r="AG14" i="18"/>
  <c r="AF14" i="18"/>
  <c r="AQ13" i="18"/>
  <c r="AP13" i="18"/>
  <c r="AO13" i="18"/>
  <c r="AN13" i="18"/>
  <c r="AM13" i="18"/>
  <c r="AL13" i="18"/>
  <c r="AK13" i="18"/>
  <c r="AJ13" i="18"/>
  <c r="AI13" i="18"/>
  <c r="AH13" i="18"/>
  <c r="AG13" i="18"/>
  <c r="AF13" i="18"/>
  <c r="G5" i="16"/>
  <c r="AQ9" i="18"/>
  <c r="AP9" i="18"/>
  <c r="AO9" i="18"/>
  <c r="AN9" i="18"/>
  <c r="AM9" i="18"/>
  <c r="AL9" i="18"/>
  <c r="AK9" i="18"/>
  <c r="AJ9" i="18"/>
  <c r="AI9" i="18"/>
  <c r="AH9" i="18"/>
  <c r="AG9" i="18"/>
  <c r="AF9" i="18"/>
  <c r="BS8" i="18"/>
  <c r="BQ8" i="18"/>
  <c r="BO8" i="18"/>
  <c r="BM8" i="18"/>
  <c r="BK8" i="18"/>
  <c r="BI8" i="18"/>
  <c r="BG8" i="18"/>
  <c r="BE8" i="18"/>
  <c r="BC8" i="18"/>
  <c r="BA8" i="18"/>
  <c r="AY8" i="18"/>
  <c r="AW8" i="18"/>
  <c r="AQ8" i="18"/>
  <c r="AP8" i="18"/>
  <c r="AO8" i="18"/>
  <c r="AN8" i="18"/>
  <c r="AM8" i="18"/>
  <c r="AL8" i="18"/>
  <c r="AK8" i="18"/>
  <c r="AJ8" i="18"/>
  <c r="AI8" i="18"/>
  <c r="AH8" i="18"/>
  <c r="AG8" i="18"/>
  <c r="AF8" i="18"/>
  <c r="AQ25" i="18"/>
  <c r="AQ27" i="18"/>
  <c r="AQ33" i="18"/>
  <c r="AP25" i="18"/>
  <c r="AP27" i="18"/>
  <c r="AP33" i="18"/>
  <c r="AO25" i="18"/>
  <c r="AO27" i="18"/>
  <c r="AO33" i="18"/>
  <c r="AN25" i="18"/>
  <c r="AN27" i="18"/>
  <c r="AN33" i="18"/>
  <c r="AM25" i="18"/>
  <c r="AM27" i="18"/>
  <c r="AM33" i="18"/>
  <c r="AL25" i="18"/>
  <c r="AL27" i="18"/>
  <c r="AL33" i="18"/>
  <c r="AK25" i="18"/>
  <c r="AK27" i="18"/>
  <c r="AK33" i="18"/>
  <c r="AJ25" i="18"/>
  <c r="AJ27" i="18"/>
  <c r="AJ33" i="18"/>
  <c r="AI25" i="18"/>
  <c r="AI27" i="18"/>
  <c r="AI33" i="18"/>
  <c r="AH25" i="18"/>
  <c r="AH27" i="18"/>
  <c r="AH33" i="18"/>
  <c r="AG25" i="18"/>
  <c r="AG27" i="18"/>
  <c r="AG33" i="18"/>
  <c r="AF25" i="18"/>
  <c r="AR25" i="18"/>
  <c r="AF27" i="18"/>
  <c r="AF33" i="18"/>
  <c r="AQ7" i="18"/>
  <c r="AP7" i="18"/>
  <c r="AO7" i="18"/>
  <c r="AN7" i="18"/>
  <c r="AM7" i="18"/>
  <c r="AL7" i="18"/>
  <c r="AK7" i="18"/>
  <c r="AJ7" i="18"/>
  <c r="AI7" i="18"/>
  <c r="AH7" i="18"/>
  <c r="AG7" i="18"/>
  <c r="AF7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Q5" i="18"/>
  <c r="AP5" i="18"/>
  <c r="AO5" i="18"/>
  <c r="AN5" i="18"/>
  <c r="AM5" i="18"/>
  <c r="AL5" i="18"/>
  <c r="AK5" i="18"/>
  <c r="AJ5" i="18"/>
  <c r="AI5" i="18"/>
  <c r="AH5" i="18"/>
  <c r="AG5" i="18"/>
  <c r="AF5" i="18"/>
  <c r="BS3" i="18"/>
  <c r="BM3" i="18"/>
  <c r="AQ4" i="18"/>
  <c r="AP4" i="18"/>
  <c r="AO4" i="18"/>
  <c r="AN4" i="18"/>
  <c r="AM4" i="18"/>
  <c r="AL4" i="18"/>
  <c r="AK4" i="18"/>
  <c r="AJ4" i="18"/>
  <c r="AI4" i="18"/>
  <c r="AH4" i="18"/>
  <c r="AG4" i="18"/>
  <c r="AF4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Q2" i="18"/>
  <c r="AP2" i="18"/>
  <c r="AO2" i="18"/>
  <c r="AN2" i="18"/>
  <c r="AM2" i="18"/>
  <c r="AL2" i="18"/>
  <c r="AK2" i="18"/>
  <c r="AJ2" i="18"/>
  <c r="AI2" i="18"/>
  <c r="AH2" i="18"/>
  <c r="AG2" i="18"/>
  <c r="AF2" i="18"/>
  <c r="AF25" i="19"/>
  <c r="AH27" i="19"/>
  <c r="AH33" i="19"/>
  <c r="AI25" i="19"/>
  <c r="AK27" i="19"/>
  <c r="AK33" i="19"/>
  <c r="AL25" i="19"/>
  <c r="AN27" i="19"/>
  <c r="AN33" i="19"/>
  <c r="AO25" i="19"/>
  <c r="AQ27" i="19"/>
  <c r="AQ33" i="19"/>
  <c r="AF18" i="19"/>
  <c r="AL18" i="19" s="1"/>
  <c r="AF19" i="19"/>
  <c r="AM18" i="19" s="1"/>
  <c r="AG27" i="19"/>
  <c r="AG33" i="19"/>
  <c r="AH25" i="19"/>
  <c r="AJ27" i="19"/>
  <c r="AJ33" i="19"/>
  <c r="AK25" i="19"/>
  <c r="AM27" i="19"/>
  <c r="AM33" i="19"/>
  <c r="AN25" i="19"/>
  <c r="AP27" i="19"/>
  <c r="AP33" i="19"/>
  <c r="AQ25" i="19"/>
  <c r="AV21" i="19"/>
  <c r="AX21" i="19"/>
  <c r="AZ21" i="19"/>
  <c r="BB21" i="19"/>
  <c r="BD21" i="19"/>
  <c r="BF21" i="19"/>
  <c r="BH21" i="19"/>
  <c r="BJ21" i="19"/>
  <c r="BL21" i="19"/>
  <c r="BN21" i="19"/>
  <c r="BP21" i="19"/>
  <c r="BR21" i="19"/>
  <c r="BO3" i="18"/>
  <c r="AF24" i="18"/>
  <c r="AH26" i="18"/>
  <c r="AH32" i="18"/>
  <c r="AI24" i="18"/>
  <c r="AK26" i="18"/>
  <c r="AK32" i="18"/>
  <c r="AL24" i="18"/>
  <c r="AN26" i="18"/>
  <c r="AN32" i="18"/>
  <c r="AO24" i="18"/>
  <c r="AQ26" i="18"/>
  <c r="AQ32" i="18"/>
  <c r="BA3" i="18"/>
  <c r="BG3" i="18"/>
  <c r="BC3" i="18"/>
  <c r="AW3" i="18"/>
  <c r="AF26" i="18"/>
  <c r="AF32" i="18"/>
  <c r="AG24" i="18"/>
  <c r="AI26" i="18"/>
  <c r="AI32" i="18"/>
  <c r="AJ24" i="18"/>
  <c r="AL26" i="18"/>
  <c r="AL32" i="18"/>
  <c r="AM24" i="18"/>
  <c r="AO26" i="18"/>
  <c r="AO32" i="18"/>
  <c r="AP24" i="18"/>
  <c r="BI3" i="18"/>
  <c r="AH24" i="18"/>
  <c r="AJ26" i="18"/>
  <c r="AJ32" i="18"/>
  <c r="AK24" i="18"/>
  <c r="AL30" i="18"/>
  <c r="AM26" i="18"/>
  <c r="AM32" i="18"/>
  <c r="AN24" i="18"/>
  <c r="AP26" i="18"/>
  <c r="AP32" i="18"/>
  <c r="AQ24" i="18"/>
  <c r="AY3" i="18"/>
  <c r="BE3" i="18"/>
  <c r="BK3" i="18"/>
  <c r="BQ3" i="18"/>
  <c r="AG26" i="18"/>
  <c r="AG32" i="18"/>
  <c r="AX21" i="18"/>
  <c r="BD21" i="18"/>
  <c r="BJ21" i="18"/>
  <c r="BP21" i="18"/>
  <c r="AZ21" i="18"/>
  <c r="BF21" i="18"/>
  <c r="BL21" i="18"/>
  <c r="BR21" i="18"/>
  <c r="AV21" i="18"/>
  <c r="BB21" i="18"/>
  <c r="BH21" i="18"/>
  <c r="BN21" i="18"/>
  <c r="AR24" i="18"/>
  <c r="AS25" i="18"/>
  <c r="AM30" i="18"/>
  <c r="AN30" i="18"/>
  <c r="AO30" i="18"/>
  <c r="AP30" i="18"/>
  <c r="AQ30" i="18"/>
  <c r="AF30" i="22" s="1"/>
  <c r="AF30" i="19"/>
  <c r="AR30" i="18"/>
  <c r="AR2" i="19" l="1"/>
  <c r="AR5" i="19"/>
  <c r="AR4" i="22"/>
  <c r="AR4" i="19"/>
  <c r="AR3" i="19"/>
  <c r="AR6" i="19"/>
  <c r="AF20" i="19"/>
  <c r="AN18" i="19" s="1"/>
  <c r="AR5" i="22"/>
  <c r="AR9" i="22"/>
  <c r="AR7" i="22"/>
  <c r="AR8" i="22"/>
  <c r="AF21" i="22"/>
  <c r="AO18" i="22" s="1"/>
  <c r="BS8" i="22"/>
  <c r="BQ8" i="22"/>
  <c r="BK8" i="22"/>
  <c r="BA8" i="22"/>
  <c r="AY8" i="22"/>
  <c r="AP25" i="22"/>
  <c r="AO27" i="22"/>
  <c r="AO33" i="22" s="1"/>
  <c r="AM25" i="22"/>
  <c r="AL27" i="22"/>
  <c r="AL33" i="22" s="1"/>
  <c r="AJ25" i="22"/>
  <c r="AI27" i="22"/>
  <c r="AI33" i="22" s="1"/>
  <c r="AG25" i="22"/>
  <c r="AF27" i="22"/>
  <c r="AF33" i="22" s="1"/>
  <c r="AP24" i="22"/>
  <c r="AO26" i="22"/>
  <c r="AO32" i="22" s="1"/>
  <c r="AM24" i="22"/>
  <c r="AL26" i="22"/>
  <c r="AL32" i="22" s="1"/>
  <c r="BG25" i="22"/>
  <c r="AJ24" i="22"/>
  <c r="AI26" i="22"/>
  <c r="AI32" i="22" s="1"/>
  <c r="AG24" i="22"/>
  <c r="AF26" i="22"/>
  <c r="AF32" i="22" s="1"/>
  <c r="BA25" i="22"/>
  <c r="AY3" i="22"/>
  <c r="AY25" i="22" s="1"/>
  <c r="AY26" i="22" s="1"/>
  <c r="BA26" i="22" s="1"/>
  <c r="BC26" i="22" s="1"/>
  <c r="BE3" i="22"/>
  <c r="BE25" i="22" s="1"/>
  <c r="BK3" i="22"/>
  <c r="BQ3" i="22"/>
  <c r="AG30" i="22"/>
  <c r="AH30" i="22" s="1"/>
  <c r="AI30" i="22" s="1"/>
  <c r="AJ30" i="22" s="1"/>
  <c r="AK30" i="22" s="1"/>
  <c r="AL30" i="22" s="1"/>
  <c r="AM30" i="22" s="1"/>
  <c r="AN30" i="22" s="1"/>
  <c r="AO30" i="22" s="1"/>
  <c r="AP30" i="22" s="1"/>
  <c r="AQ30" i="22" s="1"/>
  <c r="AR6" i="22"/>
  <c r="AF20" i="22"/>
  <c r="AN18" i="22" s="1"/>
  <c r="AF19" i="22"/>
  <c r="AM18" i="22" s="1"/>
  <c r="AR3" i="22"/>
  <c r="AF21" i="19"/>
  <c r="AO18" i="19" s="1"/>
  <c r="AG30" i="19"/>
  <c r="AH30" i="19" s="1"/>
  <c r="AI30" i="19" s="1"/>
  <c r="AJ30" i="19" s="1"/>
  <c r="AK30" i="19" s="1"/>
  <c r="AL30" i="19" s="1"/>
  <c r="AM30" i="19" s="1"/>
  <c r="AN30" i="19" s="1"/>
  <c r="AO30" i="19" s="1"/>
  <c r="AP30" i="19" s="1"/>
  <c r="AQ30" i="19" s="1"/>
  <c r="BI25" i="19"/>
  <c r="AY25" i="19"/>
  <c r="AY26" i="19" s="1"/>
  <c r="BE25" i="19"/>
  <c r="BA25" i="19"/>
  <c r="AR6" i="18"/>
  <c r="AF21" i="18"/>
  <c r="AO18" i="18" s="1"/>
  <c r="AR5" i="18"/>
  <c r="AF20" i="18"/>
  <c r="AN18" i="18" s="1"/>
  <c r="AF19" i="18"/>
  <c r="AM18" i="18" s="1"/>
  <c r="AR7" i="18"/>
  <c r="AR2" i="18"/>
  <c r="AR8" i="18"/>
  <c r="AR9" i="18"/>
  <c r="AF18" i="18"/>
  <c r="AL18" i="18" s="1"/>
  <c r="AR4" i="18"/>
  <c r="AR3" i="18"/>
  <c r="BE26" i="22" l="1"/>
  <c r="BG26" i="22" s="1"/>
  <c r="BA26" i="19"/>
  <c r="BC26" i="19" s="1"/>
  <c r="BE26" i="19" s="1"/>
  <c r="BG26" i="19" s="1"/>
  <c r="F57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Dwi Arwindiyanto - PT. Infomedia Nusantara</author>
  </authors>
  <commentList>
    <comment ref="E294" authorId="0" shapeId="0" xr:uid="{61FABB93-84D8-46A6-B268-1321D69ED0CA}">
      <text>
        <r>
          <rPr>
            <sz val="11"/>
            <color theme="1"/>
            <rFont val="Calibri"/>
            <family val="2"/>
            <scheme val="minor"/>
          </rPr>
          <t>Dwi Arwindiyanto - PT. Infomedia Nusantara:
- Masking 14006
- SIP Trunk 10 cc</t>
        </r>
      </text>
    </comment>
  </commentList>
</comments>
</file>

<file path=xl/sharedStrings.xml><?xml version="1.0" encoding="utf-8"?>
<sst xmlns="http://schemas.openxmlformats.org/spreadsheetml/2006/main" count="11939" uniqueCount="3318">
  <si>
    <t xml:space="preserve"> No </t>
  </si>
  <si>
    <t xml:space="preserve"> ID Project </t>
  </si>
  <si>
    <t>Tahun</t>
  </si>
  <si>
    <t>Periode</t>
  </si>
  <si>
    <t xml:space="preserve"> Nama Project </t>
  </si>
  <si>
    <t>Jenis Project</t>
  </si>
  <si>
    <t xml:space="preserve"> PMG </t>
  </si>
  <si>
    <t xml:space="preserve"> PM </t>
  </si>
  <si>
    <t xml:space="preserve"> Revenue Akhir </t>
  </si>
  <si>
    <t xml:space="preserve"> Segment Sales </t>
  </si>
  <si>
    <t xml:space="preserve"> Klasifikasi Project </t>
  </si>
  <si>
    <t xml:space="preserve"> Nama AM </t>
  </si>
  <si>
    <t xml:space="preserve"> Tanggal Project Charter </t>
  </si>
  <si>
    <t xml:space="preserve"> Target </t>
  </si>
  <si>
    <t>Nama PIC</t>
  </si>
  <si>
    <t>Status</t>
  </si>
  <si>
    <t>Order</t>
  </si>
  <si>
    <t>Konfigurasi</t>
  </si>
  <si>
    <t>Integrasi</t>
  </si>
  <si>
    <t>Tshoot</t>
  </si>
  <si>
    <t>Keterangan</t>
  </si>
  <si>
    <t>PM</t>
  </si>
  <si>
    <t>P232251-01-00</t>
  </si>
  <si>
    <t>Januari</t>
  </si>
  <si>
    <t>Perpanjangan Layanan Omnichannel Untuk PT Inti Cakrawala Citra (Indogrosir) 2023-2025</t>
  </si>
  <si>
    <t>CRM</t>
  </si>
  <si>
    <t>CRM 1</t>
  </si>
  <si>
    <t>AGM</t>
  </si>
  <si>
    <t>Private</t>
  </si>
  <si>
    <t>C</t>
  </si>
  <si>
    <t>Robby Kautsar</t>
  </si>
  <si>
    <t>Duta</t>
  </si>
  <si>
    <t>Done</t>
  </si>
  <si>
    <t>P232385-03-00</t>
  </si>
  <si>
    <t>Layanan Contact Center Voice LKPP Desember 2023</t>
  </si>
  <si>
    <t>CRM 2</t>
  </si>
  <si>
    <t>MIH</t>
  </si>
  <si>
    <t>Telkom Group</t>
  </si>
  <si>
    <t>Alldicka Christvelldy</t>
  </si>
  <si>
    <t>P232154-03-00</t>
  </si>
  <si>
    <t>Pengadaan Jasa Managed Operation Pengelolaan Contact BRI Site Jakarta</t>
  </si>
  <si>
    <t>RGZ</t>
  </si>
  <si>
    <t>SOE</t>
  </si>
  <si>
    <t>A</t>
  </si>
  <si>
    <t>Artha</t>
  </si>
  <si>
    <t>Adi</t>
  </si>
  <si>
    <t>P232417-01-00</t>
  </si>
  <si>
    <t>Nomor Akses 1500024 Universitas Terbuka</t>
  </si>
  <si>
    <t>Nomor Akses</t>
  </si>
  <si>
    <t>ARY</t>
  </si>
  <si>
    <t>Ricka Winatha</t>
  </si>
  <si>
    <t>Dwi</t>
  </si>
  <si>
    <t>P232472-02-00</t>
  </si>
  <si>
    <t>Nomor Akses 1500158 UNIVERSITAS GUNADARMA</t>
  </si>
  <si>
    <t>PGP</t>
  </si>
  <si>
    <t>Fadel Bahruraji</t>
  </si>
  <si>
    <t>P232558-03-00</t>
  </si>
  <si>
    <t>Pengadaan Jasa Contact Center Pelayanan Publik pada Ditjen Kekayaan Intelektual-DKI Jakarta TA 2024</t>
  </si>
  <si>
    <t>SME &amp; GOV</t>
  </si>
  <si>
    <t>P232499-03-00</t>
  </si>
  <si>
    <t>Jasa Layanan Contact Center Kementerian Investasi (BKPM) Tahun 2024</t>
  </si>
  <si>
    <t>Akhmad Yani</t>
  </si>
  <si>
    <t>P232329-03-00</t>
  </si>
  <si>
    <t>Novasi Layanan Nomor Akses 1500218 PT KSP Sahabat Mitra Sejati</t>
  </si>
  <si>
    <t>Rahmatya Dwi Arini Rahadina</t>
  </si>
  <si>
    <t>P232407-05-00</t>
  </si>
  <si>
    <t>Sewa System Digital Contact Center Bank Jateng 2024-2025</t>
  </si>
  <si>
    <t>B</t>
  </si>
  <si>
    <t>Bagus Afiansah</t>
  </si>
  <si>
    <t>Gugum</t>
  </si>
  <si>
    <t>P232479-01-00</t>
  </si>
  <si>
    <t>Novasi Layanan Nomor Akses 1500985 PT Sompo Insurance Indonesia</t>
  </si>
  <si>
    <t>P232343-07-00</t>
  </si>
  <si>
    <t>Pengembangan Layanan Voice Digital Asuransi Tokio Marine</t>
  </si>
  <si>
    <t>Bella Gusniri Ht</t>
  </si>
  <si>
    <t>P232400-02-00</t>
  </si>
  <si>
    <t>Perpanjangan Contact Center RS Sardjito dan Nomor Akses 1500705 2023-2024</t>
  </si>
  <si>
    <t>P232490-04-00</t>
  </si>
  <si>
    <t>Perpanjangan Pekerjaan Sewa Layanan Contact Center BMKG TA 2024</t>
  </si>
  <si>
    <t>Angga Yudha Pratama</t>
  </si>
  <si>
    <t>P232120-01-00</t>
  </si>
  <si>
    <t>Nomor Akses MORATELINDO - 1500882</t>
  </si>
  <si>
    <t>P242580-02-00</t>
  </si>
  <si>
    <t>Perpanjangan Masking Outbound 14040 BSI 2023-2024</t>
  </si>
  <si>
    <t>IDR</t>
  </si>
  <si>
    <t>P232075-06-00</t>
  </si>
  <si>
    <t>Layanan Contact Center Bank BJB Syariah 2023-2024</t>
  </si>
  <si>
    <t>RSA</t>
  </si>
  <si>
    <t>Fuzi Ridwan Firdaus</t>
  </si>
  <si>
    <t>P232486-02-00</t>
  </si>
  <si>
    <t>Nomor Akses 1500275 PT Anugerah Pharmindo Lestari</t>
  </si>
  <si>
    <t>RZS</t>
  </si>
  <si>
    <t>P232471-04-00</t>
  </si>
  <si>
    <t>Pekerjaan Nomor Akses 1500019 RSIA Sentul-Cikampek</t>
  </si>
  <si>
    <t>Muhammad Nurul Huda</t>
  </si>
  <si>
    <t>P232214-04-00</t>
  </si>
  <si>
    <t>Februari</t>
  </si>
  <si>
    <t>Novasi Layanan Nomor Akses 1500-750 PT Bussan Auto Finance</t>
  </si>
  <si>
    <t>P242564-00-00</t>
  </si>
  <si>
    <t>Perpanjangan &amp; Pengembangan Layanan Erajaya Tahun 2024</t>
  </si>
  <si>
    <t>Rinto Tri Sutrisno</t>
  </si>
  <si>
    <t>P232164-06-00</t>
  </si>
  <si>
    <t>Full Managed Service Halo BCA Digital Majapahit Semarang 2023</t>
  </si>
  <si>
    <t>Ipik Mimbo Busono</t>
  </si>
  <si>
    <t>P242579-01-00</t>
  </si>
  <si>
    <t>Perpanjangan &amp; Pengembangan Pengadaan Pusat Komando Nasional SPGDT Call Center 119 Jan - Jun TA 2024</t>
  </si>
  <si>
    <t>Giany Nadlillah</t>
  </si>
  <si>
    <t>P232542-03-00</t>
  </si>
  <si>
    <t>Layanan Call Center BPD Bank Nagari 2024</t>
  </si>
  <si>
    <t>Kartika Alvianty Aziz</t>
  </si>
  <si>
    <t>P242572-05-00</t>
  </si>
  <si>
    <t>Pengadaan Pemborongan Jasa Pengelolaan Service Desk FBB DWS (FBB Care) Tahun 2024</t>
  </si>
  <si>
    <t>YNR</t>
  </si>
  <si>
    <t>Rahma Aulia</t>
  </si>
  <si>
    <t>P232481-03-00</t>
  </si>
  <si>
    <t>Penyediaan Nomor Akses PT BNI Life Insurance 1500-044</t>
  </si>
  <si>
    <t>Rizkina Pascawati</t>
  </si>
  <si>
    <t>P232475-05-00</t>
  </si>
  <si>
    <t>Pengadaan Pekerjaan Pengelolaan OLO Care Agent Carrier Service DWS Telkom Tahun 2024</t>
  </si>
  <si>
    <t>P242640-05-00</t>
  </si>
  <si>
    <t>Contact Center LKPP TA 2024</t>
  </si>
  <si>
    <t>P232313-01-00</t>
  </si>
  <si>
    <t>Nomor Akses 1500515 PT PLN (Persero)</t>
  </si>
  <si>
    <t>PPP</t>
  </si>
  <si>
    <t>P242682-02-00</t>
  </si>
  <si>
    <t>Pengadaan Managed Service Contact Center PT Bank Of India Indonesia, Tbk</t>
  </si>
  <si>
    <t>P242679-03-00</t>
  </si>
  <si>
    <t>REKRUTMEN BERSAMA BUMN (RBB) TAHUN 2024</t>
  </si>
  <si>
    <t>SSO</t>
  </si>
  <si>
    <t>FT - RMT</t>
  </si>
  <si>
    <t>P232411-02-00</t>
  </si>
  <si>
    <t>Perpanjangan Call Center Halo Suzuki 2024/2025</t>
  </si>
  <si>
    <t>Ign. Angga Widya Putra</t>
  </si>
  <si>
    <t>P242613-02-00</t>
  </si>
  <si>
    <t>[PNTL] Penyelenggaraan Layanan Contact Center Tokio Marine Periode 18 Januari 2024 s.d 17 Januari 2025</t>
  </si>
  <si>
    <t>P242674-02-00</t>
  </si>
  <si>
    <t>Layanan Nomor Akses 1500211 BPR KS</t>
  </si>
  <si>
    <t>P232266-01-00</t>
  </si>
  <si>
    <t>Penyediaan Nomor Akses Bank of India Indonesia 150707</t>
  </si>
  <si>
    <t>Agung Rizqie Adhi</t>
  </si>
  <si>
    <t>P242697-02-00</t>
  </si>
  <si>
    <t>Managed Service Telesurvey Branch Service Quality (BSQ) 2024</t>
  </si>
  <si>
    <t>Ika Nursari</t>
  </si>
  <si>
    <t>P232181-03-00</t>
  </si>
  <si>
    <t>Maret</t>
  </si>
  <si>
    <t>Layanan SPGDT 119 Dinas Kesehatan Kota Cimahi</t>
  </si>
  <si>
    <t>P242716-02-00</t>
  </si>
  <si>
    <t>Penyediaan Jasa Customer Relationship Management Adhivasindo</t>
  </si>
  <si>
    <t>P232250-04-00</t>
  </si>
  <si>
    <t>Novasi Layanan Nomor Akses 1500169 PT Bank Ganesha Tbk</t>
  </si>
  <si>
    <t>Anneke Ginting</t>
  </si>
  <si>
    <t>P232223-05-00</t>
  </si>
  <si>
    <t>Novasi Nomor Akses 1500377 PT JCO Donuts and Coffe</t>
  </si>
  <si>
    <t>P242687-03-00</t>
  </si>
  <si>
    <t>Sewa License Omnix Voice Only dan Perangkat PT Datakarma Teknologi Indonesia</t>
  </si>
  <si>
    <t>EWI</t>
  </si>
  <si>
    <t>P242688-03-00</t>
  </si>
  <si>
    <t>Sewa License Omnix Voice Only dan Perangkat PT Super Cepat Teknologi Indonesia</t>
  </si>
  <si>
    <t>P232345-10-00</t>
  </si>
  <si>
    <t>Perpanjangan Kontrak Contact Center Complain Handling Taspen Periode 2024</t>
  </si>
  <si>
    <t>P242752-03-00</t>
  </si>
  <si>
    <t>Penyediaan Relokasi Contact Center PT Asuransi Tugu Pratama Indonesia Tbk</t>
  </si>
  <si>
    <t>P242643-03-00</t>
  </si>
  <si>
    <t>Layanan  Call Center Dinkes Kota Bogor 2024</t>
  </si>
  <si>
    <t>P242684-03-00</t>
  </si>
  <si>
    <t>Layanan Call Center SPGDT 119 Dinkes Kota Tangerang  Tahun 2024</t>
  </si>
  <si>
    <t>P232530-03-00</t>
  </si>
  <si>
    <t>Pengembangan Call Center Quitline Rokok TA 2024</t>
  </si>
  <si>
    <t>P242746-04-00</t>
  </si>
  <si>
    <t>Penyedia Jasa Tools &amp; Eguipment Telemarketing PT Asuransi Tugu Pratama Indonesia Tbk</t>
  </si>
  <si>
    <t>P242693-04-00</t>
  </si>
  <si>
    <t>Perpanjangan Nomor Akses 1500-000 PT Pertamina (Persero) 2024</t>
  </si>
  <si>
    <t>Eko Kurniawan</t>
  </si>
  <si>
    <t>P242801-01-00</t>
  </si>
  <si>
    <t>Penyediaan Nomor Akses 1500217  PT Asuransi BRI life</t>
  </si>
  <si>
    <t>P242692-04-00</t>
  </si>
  <si>
    <t>Perpanjangan Nomor Akses 1500-234 PT Pertamina (Persero) 2024</t>
  </si>
  <si>
    <t>P242695-04-00</t>
  </si>
  <si>
    <t>Manage Contact Center Neusoft April 2024 - April 2025</t>
  </si>
  <si>
    <t>MRL</t>
  </si>
  <si>
    <t>P242638-02-00</t>
  </si>
  <si>
    <t>Layanan Call Center 1500105 Ditjen AHU Tahun 2024</t>
  </si>
  <si>
    <t>P232268-05-00</t>
  </si>
  <si>
    <t>April</t>
  </si>
  <si>
    <t>Bank NTB 1500667 NOVASI</t>
  </si>
  <si>
    <t>Eddo Oktaviano</t>
  </si>
  <si>
    <t>P242653-02-00</t>
  </si>
  <si>
    <t>Layanan Contact Center Kimia Farma 2024</t>
  </si>
  <si>
    <t>Yadi Nurcahyadi</t>
  </si>
  <si>
    <t>P242560-06-00</t>
  </si>
  <si>
    <t>[PNTL] Pengadaan Manage Service Seat Management PT Citilink Indonesia 2024</t>
  </si>
  <si>
    <t>Adiria</t>
  </si>
  <si>
    <t>P242753-01-00</t>
  </si>
  <si>
    <t>Pengadaan Jasa Call Center BAPENDA DKI Jakarta 2024</t>
  </si>
  <si>
    <t>P242754-02-00</t>
  </si>
  <si>
    <t>Penyediaan Call Center SPGDT 119 P3KD DKI Jakarta Tahun 2024</t>
  </si>
  <si>
    <t>P242772-02-00</t>
  </si>
  <si>
    <t>Nomor Akses 150170 PT Amartha Mikro Fintek 2024 - 2025</t>
  </si>
  <si>
    <t>P232478-08-00</t>
  </si>
  <si>
    <t xml:space="preserve">1500063 PT Persada Makmur Indonesia </t>
  </si>
  <si>
    <t>Yane Anastasia</t>
  </si>
  <si>
    <t>P242875-01-00</t>
  </si>
  <si>
    <t>Penambahan Line SIPTRUNK untuk 1500112 PT Asuransi Astra Buana</t>
  </si>
  <si>
    <t>FAH</t>
  </si>
  <si>
    <t>P232249-03-00</t>
  </si>
  <si>
    <t>Novasi Nomor Akses 1500078 PT Sari Coffe Indonesia (Starbucks Indonesia)</t>
  </si>
  <si>
    <t>RNO</t>
  </si>
  <si>
    <t>P242791-02-00</t>
  </si>
  <si>
    <t>Masking Contact Center 1500045 PT BNI Life Insurance</t>
  </si>
  <si>
    <t>P242925-01-00</t>
  </si>
  <si>
    <t>Sewa Layanan License Contact Center KSO Sucofindo Surveyor Indonesia</t>
  </si>
  <si>
    <t>P232238-03-00</t>
  </si>
  <si>
    <t>Mei</t>
  </si>
  <si>
    <t>Novasi Nomor Akses 1500852 Chubb Life Insurance Indonesia</t>
  </si>
  <si>
    <t>cancel</t>
  </si>
  <si>
    <t>terkendala pr crossconnect di DCI (dari user tidak mau ada biaya tambahan)</t>
  </si>
  <si>
    <t>P242857-03-00</t>
  </si>
  <si>
    <t>Layanan Contact Center 150511 Perumda Tirta Kanjuruhan Kabupaten Malang</t>
  </si>
  <si>
    <t>P242585-03-00</t>
  </si>
  <si>
    <t>Perpanjangan Layanan Contact Center RSUD Tarakan Periode Jan - Des 2024</t>
  </si>
  <si>
    <t>P242711-06-00</t>
  </si>
  <si>
    <t>Nomor Akses 1500488 RS Hermina 2024</t>
  </si>
  <si>
    <t>P242795-03-00</t>
  </si>
  <si>
    <t>Penyediaan Nomor akses 1500988 PT Supra Primatama Nusantara 2024</t>
  </si>
  <si>
    <t>P242797-03-00</t>
  </si>
  <si>
    <t>Penyediaan Nomor akses 1500933 PT Supra Primatama Nusantara 2024</t>
  </si>
  <si>
    <t>P242769-02-00</t>
  </si>
  <si>
    <t>Layanan Call Center Bapenda Jabar Tahun 2024</t>
  </si>
  <si>
    <t>Chyntia Insani Dewi</t>
  </si>
  <si>
    <t>P242891-01-00</t>
  </si>
  <si>
    <t>(PNTL) Pekerjaan Pendukung Sales (Fulfillment) Periode April 2024 s/d Maret 2025</t>
  </si>
  <si>
    <t>P242912-01-00</t>
  </si>
  <si>
    <t>Layanan Call Center 14002 Bank Sumut April 2024 - Maret 2027</t>
  </si>
  <si>
    <t>P242916-00-00</t>
  </si>
  <si>
    <t>Masking Number Outbond PT Super Bank Indonesia 2024</t>
  </si>
  <si>
    <t>Fadhli Fauzi</t>
  </si>
  <si>
    <t>P242736-05-00</t>
  </si>
  <si>
    <t>[PNTL] SPGDT 119 Dinas Kesehatan Kota Bandung Tahun 2024</t>
  </si>
  <si>
    <t>P242824-01-00</t>
  </si>
  <si>
    <t>Layanan Halo BCA - Inbound Semarang</t>
  </si>
  <si>
    <t>P242941-01-00</t>
  </si>
  <si>
    <t>Masking Number Nomor Akses 1500818 PT EKA MAS REPUBLIK (My Republik)</t>
  </si>
  <si>
    <t>P242886-02-00</t>
  </si>
  <si>
    <t>PENGADAAN LAYANAN CONTACT CENTER TENESA</t>
  </si>
  <si>
    <t>Radhitya Rivano</t>
  </si>
  <si>
    <t>P242788-01-00</t>
  </si>
  <si>
    <t>Perpanjangan Manage Service CC BJB dan Digital Voice 2024-2025</t>
  </si>
  <si>
    <t>ZAI</t>
  </si>
  <si>
    <t>P242807-01-00</t>
  </si>
  <si>
    <t>Perpanjangan Layanan CC Pelita Air Service TA 2024-2025</t>
  </si>
  <si>
    <t>F242863-02-00</t>
  </si>
  <si>
    <t>[PNTL] Pengelolaan Layanan By.U Periode April sd Desember 2024</t>
  </si>
  <si>
    <t>SDQ</t>
  </si>
  <si>
    <t>Indra Gunawan</t>
  </si>
  <si>
    <t>P242953-01-00</t>
  </si>
  <si>
    <t>Layanan Helpdesk Aplikasi Kemenkes (Satu Sehat) 2024</t>
  </si>
  <si>
    <t>P232466-03-00</t>
  </si>
  <si>
    <t>Sewa Contact Center RSUP Dr Kariadi Semarang 2024</t>
  </si>
  <si>
    <t>P232533-05-00</t>
  </si>
  <si>
    <t>Sewa Nomor Akses Call Center 1500858 Nasmoco Semarang</t>
  </si>
  <si>
    <t>P242913-01-00</t>
  </si>
  <si>
    <t>Juni</t>
  </si>
  <si>
    <t>Pengadaan Jasa Pengelolaan Contact Center PT Asuransi Jasa Indonesia Periode Maret 2024 - Agustus 2024</t>
  </si>
  <si>
    <t>P242946-02-00</t>
  </si>
  <si>
    <t>Perpanjangan Nomor 1500034 RS Jantung dan Pembuluh Darah Harapan Kita 2024</t>
  </si>
  <si>
    <t>P242818-04-00</t>
  </si>
  <si>
    <t>Nomor Akses 1500016 Bank Muamalat</t>
  </si>
  <si>
    <t>P242915-02-00</t>
  </si>
  <si>
    <t>Pengadaan Nomor Akses 1500910 PT Bank Hibank Indonesia</t>
  </si>
  <si>
    <t>P242848-01-00</t>
  </si>
  <si>
    <t>Layanan Call Center Dinkes 119 Kabupaten Lebak Banten</t>
  </si>
  <si>
    <t>P242965-04-00</t>
  </si>
  <si>
    <t>Contact Center PT Hotel Internasional Sanur Indonesia (HISI)</t>
  </si>
  <si>
    <t>P243009-01-00</t>
  </si>
  <si>
    <t>Juli</t>
  </si>
  <si>
    <t>Novasi Nomor Akses Universitas Indonesia 1500002</t>
  </si>
  <si>
    <t>P243026-04-00</t>
  </si>
  <si>
    <t>PEKERJAAN PENGADAAAN LAYANAN MANAGED SERVICE CONTACT CENTER MAZUTA GROUP</t>
  </si>
  <si>
    <t>P242931-01-00</t>
  </si>
  <si>
    <t>Solusi CRM Smartfren untuk RS Ngoerah</t>
  </si>
  <si>
    <t>Edwin Rega Prayogo</t>
  </si>
  <si>
    <t>P243084-02-00</t>
  </si>
  <si>
    <t xml:space="preserve"> Perpanjangan Layanan Contact Center Starbucks untuk PT Sari Coffee Indonesia Periode  1 Juli - 31 Des  2024</t>
  </si>
  <si>
    <t>P242728-04-00</t>
  </si>
  <si>
    <t xml:space="preserve">Rebranding IVR Bank KB Bukopin </t>
  </si>
  <si>
    <t>P232477-06-00</t>
  </si>
  <si>
    <t>Novasi Nomor Akses 1500600 PizzaHut</t>
  </si>
  <si>
    <t>terkendala pr crossconnect di dc sigma</t>
  </si>
  <si>
    <t>P243087-01-00</t>
  </si>
  <si>
    <t>Layanan Omnix dan Whatsapp Business BPD Kalimantan Selatan 2024-2025</t>
  </si>
  <si>
    <t>Rachmat Hidayat</t>
  </si>
  <si>
    <t>P242993-04-00</t>
  </si>
  <si>
    <t>Penambahan Masking outbound &amp; nomor akses 1500-654 PNM Tahap 1</t>
  </si>
  <si>
    <t>P242904-03-00</t>
  </si>
  <si>
    <t>Penyediaan Layanan Call Center SPGDT 119 RSUD Aji Muhammad Parikesit Kab. Kukar 2024</t>
  </si>
  <si>
    <t>Taufiq Abdurrahman Hanif</t>
  </si>
  <si>
    <t>P243122-02-00</t>
  </si>
  <si>
    <t>Nomor Akses 150-109 dan 1500-109 PT Patra Logistik</t>
  </si>
  <si>
    <t>Ibnu Pradipta</t>
  </si>
  <si>
    <t>P242804-01-00</t>
  </si>
  <si>
    <t>Pengadaan Manage Operation Call Center Outbound PT Pesonna Optima Jasa Tahun 2024</t>
  </si>
  <si>
    <t>Eko Winaryo</t>
  </si>
  <si>
    <t>P242604-03-00</t>
  </si>
  <si>
    <t>Agustus</t>
  </si>
  <si>
    <t>Sewa Nomor Akses Call Center dan Waba Dishub Kota Semarang 2024</t>
  </si>
  <si>
    <t>P243154-02-00</t>
  </si>
  <si>
    <t>Masking Outbound 1500-111 &amp; 1500-399 Bank Permata</t>
  </si>
  <si>
    <t>P243014-05-00</t>
  </si>
  <si>
    <t>Amandemen ke-4 Pekerjaan Jasa Pengadaan dan Pengelolaan Customer Care Center 135</t>
  </si>
  <si>
    <t>P243160-01-00</t>
  </si>
  <si>
    <t>Layanan Nomor Akses 1500665 Bank Pembangunan Daerah Jambi 2024</t>
  </si>
  <si>
    <t>P243086-02-00</t>
  </si>
  <si>
    <t>Perpanjangan Asuransi Allianz Life Indonesia - Outbound Call (AZLI) 2024</t>
  </si>
  <si>
    <t>INW</t>
  </si>
  <si>
    <t>P243085-03-00</t>
  </si>
  <si>
    <t>Perpanjangan Asuransi Allianz Life Syariah Indonesia - Outbound Call (ALLISYA) 2024</t>
  </si>
  <si>
    <t>P243107-02-00</t>
  </si>
  <si>
    <t>Novasi Nomor Akses 1500020 PT Jasa Raharja (Persero)</t>
  </si>
  <si>
    <t>P243035-05-00</t>
  </si>
  <si>
    <t>Penyediaan Contact Center Full Solution Pegadaian 2024 - 2025</t>
  </si>
  <si>
    <t>P232197-15-00</t>
  </si>
  <si>
    <t>Novasi Nomor Akses 1500456 PT Zurich Asuransi Indonesia</t>
  </si>
  <si>
    <t>GIN</t>
  </si>
  <si>
    <t>P243071-01-00</t>
  </si>
  <si>
    <t>[PNTL] Layanan Managed Service Contact Center Perum Damri Juli 2024 - Juni 2025</t>
  </si>
  <si>
    <t>P243099-04-00</t>
  </si>
  <si>
    <t>Perpanjangan dan Relokasi Nomor Akses 1500228 Th 2024 - 2027 PT Trakindo Utama</t>
  </si>
  <si>
    <t>Gerry Sunaryo</t>
  </si>
  <si>
    <t>P243141-03-00</t>
  </si>
  <si>
    <t>Pengadaan Jasa Layanan Helpdesk System Telkom Property</t>
  </si>
  <si>
    <t>Ahmad Nidzom Hilmi</t>
  </si>
  <si>
    <t>P243088-03-00</t>
  </si>
  <si>
    <t>Perpanjangan Kontrak Contact Center Asuransi Ramayana Periode 1 Agustus 2024 sd 31 Juli 2025</t>
  </si>
  <si>
    <t>P243025-01-00</t>
  </si>
  <si>
    <t>Pengadaan Masking Outbound BRI 1500017</t>
  </si>
  <si>
    <t>F243062-06-00</t>
  </si>
  <si>
    <t>[PNTL] Pengadaan Pusat Komando Nasional SPGDT Call Center 119 Juli - Desember TA 2024</t>
  </si>
  <si>
    <t>F243119-02-00</t>
  </si>
  <si>
    <t>September</t>
  </si>
  <si>
    <t>[PNTL] Pengadaan Customer Voice Management System - PT Garuda Indonesia</t>
  </si>
  <si>
    <t>P243137-02-00</t>
  </si>
  <si>
    <t>Penyediaan layanan Nomor Akses dan Masking Number 1500525 PT FWD Insurance Indonesia</t>
  </si>
  <si>
    <t>P242871-04-00</t>
  </si>
  <si>
    <t>Penyediaan Nomor Akses Hokben</t>
  </si>
  <si>
    <t>P243170-02-00</t>
  </si>
  <si>
    <t>Sistem Data Crawling &amp; Layanan Outbound Pasker Kemnaker 2024</t>
  </si>
  <si>
    <t>Kristie Silviana</t>
  </si>
  <si>
    <t>P243171-01-00</t>
  </si>
  <si>
    <t>Outbound Call For Fixed Mobile Convergence Product</t>
  </si>
  <si>
    <t>P243164-02-00</t>
  </si>
  <si>
    <t xml:space="preserve">Layanan Sistem Omnix Call Center dan WABA Rumah Sakit Hasan Sadikin </t>
  </si>
  <si>
    <t>P232189-02-00</t>
  </si>
  <si>
    <t>Layanan SPGDT 119 Kabupaten Subang Tahun 2024</t>
  </si>
  <si>
    <t>P243165-02-00</t>
  </si>
  <si>
    <t>Nomor Akses Nasabah Prioritas BRI Life 1500518</t>
  </si>
  <si>
    <t>P243136-01-00</t>
  </si>
  <si>
    <t xml:space="preserve">Nomor Akses 1500780 PT Cyberindo Aditama </t>
  </si>
  <si>
    <t>P243210-01-00</t>
  </si>
  <si>
    <t>Oktober</t>
  </si>
  <si>
    <t>Layanan Contact Center dan E-Pelaporan Otorita Ibu Kota Nusantara 2024</t>
  </si>
  <si>
    <t>FT</t>
  </si>
  <si>
    <t>P243255-01-00</t>
  </si>
  <si>
    <t>Pengadaan Penyediaan Infrastruktur Komunikasi Untuk Call Center EV Ecossystem Periode 2024 PT Haleyora Power</t>
  </si>
  <si>
    <t>P243283-01-00</t>
  </si>
  <si>
    <t>Perpanjangan Nomor Akses 1500918 PT Kartika Bina Medika</t>
  </si>
  <si>
    <t>Rocky Herwindo</t>
  </si>
  <si>
    <t>P243175-00-00</t>
  </si>
  <si>
    <t>Perpanjangan Layanan Nomor Akses 1500332 PT MRT Jakarta 2024-2025</t>
  </si>
  <si>
    <t>P243291-02-00</t>
  </si>
  <si>
    <t>Upgrade Omni Channel Bank Jatim Tahun 2024-2025</t>
  </si>
  <si>
    <t>P243225-05-00</t>
  </si>
  <si>
    <t xml:space="preserve">CONTACT CENTER RSUP NGOERAH BALI </t>
  </si>
  <si>
    <t>P243240-01-00</t>
  </si>
  <si>
    <t>Pengadaan Call center 150280 PT Suiten Inovasi Sukses</t>
  </si>
  <si>
    <t>BTG</t>
  </si>
  <si>
    <t>P243337-01-00</t>
  </si>
  <si>
    <t>Amandemen V Penambahan Jasa Pengadaan &amp; Pengelolaan Costumer Care Center 135 Bandung &amp; Semarang</t>
  </si>
  <si>
    <t>Upload Astinetnya masih blm sesuai dengan Download (100 Mbps) masih FU ke Grey</t>
  </si>
  <si>
    <t>P243378-02-00</t>
  </si>
  <si>
    <t>Telemarketing Allo Bank 2024</t>
  </si>
  <si>
    <t>P243327-02-00</t>
  </si>
  <si>
    <t>Pengadaan Jasa Call Center PT Adhi Karya 2024</t>
  </si>
  <si>
    <t>Marulitua Sikristo Sitorus</t>
  </si>
  <si>
    <t>P243282-02-00</t>
  </si>
  <si>
    <t>November</t>
  </si>
  <si>
    <t>New Network Number Access 1500-275 Anugerah Pharmindo Lestari (APL)</t>
  </si>
  <si>
    <t>P243357-01-00</t>
  </si>
  <si>
    <t>Novasi 1500153 Bank Sinarmas</t>
  </si>
  <si>
    <t>RMT</t>
  </si>
  <si>
    <t>P243402-02-00</t>
  </si>
  <si>
    <t>Pekerjaan Full Managed Service Contact Center ASDP 191 Tahun 2024-2025</t>
  </si>
  <si>
    <t>ARTHA</t>
  </si>
  <si>
    <t>P243405-02-00</t>
  </si>
  <si>
    <t>Layanan Call Center 1500838 PT KITB</t>
  </si>
  <si>
    <t>RIZKINA PASCAWATI</t>
  </si>
  <si>
    <t>NO GPL</t>
  </si>
  <si>
    <t>Perubahan Menu NCC 119 Menu Konsultasi Tekan 8 (Psikolog)</t>
  </si>
  <si>
    <t>-</t>
  </si>
  <si>
    <t>Layanan Call Center Garuda Australia</t>
  </si>
  <si>
    <t>Penambahan Priority Platinum pada Layanan Indihome</t>
  </si>
  <si>
    <t>POC - TPNS Telesurvey Indihome</t>
  </si>
  <si>
    <t>P243414-01-00</t>
  </si>
  <si>
    <t>Sewa Layanan Inbound Call Nomor Akses 167</t>
  </si>
  <si>
    <t>P243407-01-00</t>
  </si>
  <si>
    <t>Layanan Pekerjaan Upgrade Sistem Omnix CC PGN 2 Bulan</t>
  </si>
  <si>
    <t>Rahmatya Dwi Arini</t>
  </si>
  <si>
    <t>20-Des-24</t>
  </si>
  <si>
    <t>P243390-01-00</t>
  </si>
  <si>
    <t>Desember</t>
  </si>
  <si>
    <t>POC Backup Asteriks PT Admedika</t>
  </si>
  <si>
    <t>Siska Susiloawti</t>
  </si>
  <si>
    <t>P243355-02-00</t>
  </si>
  <si>
    <t>Penyediaan SBC Layanan Zurich 1500456</t>
  </si>
  <si>
    <t>23-Des-24</t>
  </si>
  <si>
    <t>adi</t>
  </si>
  <si>
    <t>P243363-02-00</t>
  </si>
  <si>
    <t>New Nomor Akses 1500215 PT Pembangunan Deltamas Gedung SFCC</t>
  </si>
  <si>
    <t>Terkendala di Kawasan Area Deltamas</t>
  </si>
  <si>
    <t>P242867-04-00</t>
  </si>
  <si>
    <t>Pengadaan Manage Service B2B Aftersales Tahun 2024</t>
  </si>
  <si>
    <t xml:space="preserve">TELKOM GROUP </t>
  </si>
  <si>
    <t>CRM4</t>
  </si>
  <si>
    <t>Erik</t>
  </si>
  <si>
    <t>CRM2</t>
  </si>
  <si>
    <t xml:space="preserve">SOE </t>
  </si>
  <si>
    <t>P243449-01-00</t>
  </si>
  <si>
    <t>Layanan Call Center 119 Dinas Kesehatan Kabupaten Pandeglang</t>
  </si>
  <si>
    <t>12-Des-2024</t>
  </si>
  <si>
    <t>P243440-02-00</t>
  </si>
  <si>
    <t>Penyediaan Layanan Call Center RS Awal Bros Pekanbaru Tahun 2024</t>
  </si>
  <si>
    <t>Kartika Alvianty</t>
  </si>
  <si>
    <t>P243375-02-00</t>
  </si>
  <si>
    <t>Pengadaan Layanan Seat Management Contact Center PT Citilink Indonesia Tahun 2025 sd 2028</t>
  </si>
  <si>
    <t>ERW</t>
  </si>
  <si>
    <t>ADIRIA</t>
  </si>
  <si>
    <t>P243615-01-00</t>
  </si>
  <si>
    <t>Layanan Nomor Akses 1500300 Bank BTPN Syariah</t>
  </si>
  <si>
    <t>ERM</t>
  </si>
  <si>
    <t>Proses Intergrasi disisi BTPN</t>
  </si>
  <si>
    <t>P253703-01-00</t>
  </si>
  <si>
    <t>Penyediaan SIP Trunk dan Nomor Akses KPPPA Tesa 129 TA 2025</t>
  </si>
  <si>
    <t>P243658-01-00</t>
  </si>
  <si>
    <t>Manage Service Operasional CC AHU 2025</t>
  </si>
  <si>
    <t>CRM1</t>
  </si>
  <si>
    <t>Alldicka ChristVelldy</t>
  </si>
  <si>
    <t>25-Feb-2-25</t>
  </si>
  <si>
    <t>Proses Downgrade Astinet &amp; Dismentle Metro blm ada no Order dari DWS</t>
  </si>
  <si>
    <t>P243549-01-00</t>
  </si>
  <si>
    <t>Jasa Layanan Contact Center Kementerian Investasi (BKPM) Tahun 2025</t>
  </si>
  <si>
    <t>F243613-01-00</t>
  </si>
  <si>
    <t>Pra PO Layanan Contact Center Kemendiktisaintek TA 2025</t>
  </si>
  <si>
    <t>P243572-03-00</t>
  </si>
  <si>
    <t>Nomor Akses dan Platform Omnix LAPS SJK</t>
  </si>
  <si>
    <t>P243574-01-00</t>
  </si>
  <si>
    <t>Perpanjangan Layanan Contact Center Starbucks untuk PT Sari Coffe Indonesia periode 1 Jan 2025 - 31 Des 2025</t>
  </si>
  <si>
    <t>P243447-02-00</t>
  </si>
  <si>
    <t>Layanan Contact Center Allo Fresh Indonesia</t>
  </si>
  <si>
    <t>P243439-00-00</t>
  </si>
  <si>
    <t>Novasi Nomor Akses 1500-336 PT Shinhan Indo Finance</t>
  </si>
  <si>
    <t>Fadel Bahruaji</t>
  </si>
  <si>
    <t>OGP</t>
  </si>
  <si>
    <t>Terkendala di SBC CLient</t>
  </si>
  <si>
    <t>P243450-02-00</t>
  </si>
  <si>
    <t>Migrasi Layanan No Akses 150225 Direktorat Jenderal Bea dan Cukai 2024</t>
  </si>
  <si>
    <t>done</t>
  </si>
  <si>
    <t>Proses Order di SP</t>
  </si>
  <si>
    <t>P243588-02-00</t>
  </si>
  <si>
    <t>Layanan Call Center SPGDT 119 Dinkes Kabupaten Bandung Barat 2025</t>
  </si>
  <si>
    <t>Fuzi Ridwan</t>
  </si>
  <si>
    <t>P243579-01-00</t>
  </si>
  <si>
    <t>Pengadaan Connectivity dan Trainning Agent untuk CC JR dengan PT Aru Raharja</t>
  </si>
  <si>
    <t>P243535-02-00</t>
  </si>
  <si>
    <t>Layanan Nomor Akses Perumda Tirta Benteng Kota Tangerang</t>
  </si>
  <si>
    <t>P243609-02-00</t>
  </si>
  <si>
    <t>Nomor Akses dan Caller ID 1500900 BBKK Tanjung Priok</t>
  </si>
  <si>
    <t>P243616-02-00</t>
  </si>
  <si>
    <t>Layanan Call Center NOC PT KITB</t>
  </si>
  <si>
    <t>Rizkina Pancawati</t>
  </si>
  <si>
    <t>P243429-02-00</t>
  </si>
  <si>
    <t>Manage Service CC Bank Ganesha 2025-2026</t>
  </si>
  <si>
    <t>F253743-02-00</t>
  </si>
  <si>
    <t>TELEPHONY SISTEM RSUP KEMENKES SURABAYA</t>
  </si>
  <si>
    <t>Perubahan no Out 031</t>
  </si>
  <si>
    <t>P243642-02-00</t>
  </si>
  <si>
    <t>Upgrade Call Center Bank Jatim Tahun 2025 dan 2026</t>
  </si>
  <si>
    <t>P243682-01-00_x000D_</t>
  </si>
  <si>
    <t>Perpanjangan Nomor Akses Koperasi Nusantara Periode 2025</t>
  </si>
  <si>
    <t>Masagus Mansyur</t>
  </si>
  <si>
    <t>P243497-02-00</t>
  </si>
  <si>
    <t>Pengadaan Jasa Pengelolaan Customer Care SIG Department Channel &amp; Sales Force Management Tahun 2025</t>
  </si>
  <si>
    <t>P253733-01-00</t>
  </si>
  <si>
    <t>Pengadaan Layanan Whatsapp Untuk Omnichannel Kontak Terpadu HCM 2025</t>
  </si>
  <si>
    <t>Roni Gultom</t>
  </si>
  <si>
    <t>P243565-02-00</t>
  </si>
  <si>
    <t>Layanan Contact Center Kemenhub TA 2025</t>
  </si>
  <si>
    <t xml:space="preserve">	P243544-02-00</t>
  </si>
  <si>
    <t>Penyediaan Nomor Akses 1500199 PT Nusa Prima Pangan (Solaria)</t>
  </si>
  <si>
    <t>P253906-00-00</t>
  </si>
  <si>
    <t>REKRUTMEN BERSAMA BUMN (RBB) TAHUN 2025</t>
  </si>
  <si>
    <t>FRM</t>
  </si>
  <si>
    <t>P243500-03-00</t>
  </si>
  <si>
    <t>Perpanjangan Nomor Akses 1500-234 PT Pertamina (Persero) 2025</t>
  </si>
  <si>
    <t>Proses Integrasi ke SBC Pertamina (Mikhael)</t>
  </si>
  <si>
    <t xml:space="preserve">P243619-04-00 </t>
  </si>
  <si>
    <t>Contact Center LKPP TA Januari - Desember 2025</t>
  </si>
  <si>
    <t>Fahrian</t>
  </si>
  <si>
    <t xml:space="preserve">link pakai lintasarta </t>
  </si>
  <si>
    <t xml:space="preserve">P253724-01-00 </t>
  </si>
  <si>
    <t>Layanan Channel Voice Alfamart</t>
  </si>
  <si>
    <t xml:space="preserve">P254015-00-00 </t>
  </si>
  <si>
    <t>Layanan Nomor Akses 1500067 Kementerian Perdagangan TA 2025</t>
  </si>
  <si>
    <t>P243644-02-00</t>
  </si>
  <si>
    <t>Perpanjangan Layanan Contact Center PT. Dom Pizza Indonesia (Domino's Pizza) Periode 2025</t>
  </si>
  <si>
    <t>CRM3</t>
  </si>
  <si>
    <t>FHF</t>
  </si>
  <si>
    <t>Implementasi IVR di Oink</t>
  </si>
  <si>
    <t>P243610-01-00</t>
  </si>
  <si>
    <t>Perpanjangan Pekerjaan Sewa Layanan Contact Center BMKG TA 2025</t>
  </si>
  <si>
    <t xml:space="preserve">	Kristie Silviana</t>
  </si>
  <si>
    <t xml:space="preserve">P253960-01-00 </t>
  </si>
  <si>
    <t>PENGADAAN NOMOR MASKING OUTGOING CALLS UNTUK BCA SYARIAH 1500179</t>
  </si>
  <si>
    <t>P253742-02-00</t>
  </si>
  <si>
    <t>Layanan Centralized Contact Center Siloam Hospital Semarang - Yogyakarta 2025</t>
  </si>
  <si>
    <t>Agung Rizqie</t>
  </si>
  <si>
    <t>Penyesuaian ip lokal untuk trunking ke pbx Siloam &amp; konek ke app siloam tanpa VPN (menunggu jadwal dari IT Siloam terkait ipsec tiap2 HU)</t>
  </si>
  <si>
    <t>Agum</t>
  </si>
  <si>
    <t xml:space="preserve">	P254035-01-00</t>
  </si>
  <si>
    <t>Layanan Nomor Akses 1500990 &amp; System OMNIX Bethsaida Hospital</t>
  </si>
  <si>
    <t>F253956-01-00</t>
  </si>
  <si>
    <t>Pra PO Layanan 119 SPGDT Dinkes Bogor TA 2025</t>
  </si>
  <si>
    <t>Raihanah Aprilia Zahra</t>
  </si>
  <si>
    <t>P254006-02-00</t>
  </si>
  <si>
    <t>Pengadaan Layanan Contact Center Metra</t>
  </si>
  <si>
    <t>GAW</t>
  </si>
  <si>
    <t>F254080-02-00</t>
  </si>
  <si>
    <t>Pra PO - Sistem Layanan Contact Center 151 Kementerian Perhubungan</t>
  </si>
  <si>
    <t>REM</t>
  </si>
  <si>
    <t>P253905-03-00</t>
  </si>
  <si>
    <t>JASA PENGELOLAAN CONTACT CENTER &amp; SOCIAL MEDIA ANALITICS TA 2025 KEMENTERIAN HAK ASASI MANUSIA</t>
  </si>
  <si>
    <t>Nalurita Nurbani</t>
  </si>
  <si>
    <t>order cancel &amp; upgrade astinet Simplifikasi</t>
  </si>
  <si>
    <t>P254119-02-00</t>
  </si>
  <si>
    <t>Call Center RSUD Soetomo 1500995</t>
  </si>
  <si>
    <t>P253978-01-00</t>
  </si>
  <si>
    <t>Call Center 1500775 PT Asuransi Jiwa Sequis Life</t>
  </si>
  <si>
    <t>disisi INF sudah di create in &amp; out , proses config disisi Talkdesk</t>
  </si>
  <si>
    <t xml:space="preserve">P253927-02-00 </t>
  </si>
  <si>
    <t>SPGDT 119 Kabupaten Trenggalek 2025</t>
  </si>
  <si>
    <t>P253950-03-00</t>
  </si>
  <si>
    <t>Nomor Akses 1500653 PT. Onda Mega Integra</t>
  </si>
  <si>
    <t>P254234-01-00</t>
  </si>
  <si>
    <t>Penyedian	Pengelolaan	Whatsapp	Broadcast	&amp;	Telesales	Event	IFTDO	2025</t>
  </si>
  <si>
    <t>Angga Widya</t>
  </si>
  <si>
    <t>P243628-02-00</t>
  </si>
  <si>
    <t>Pra PO Penyediaan Call Center SPGDT 119 PK3D DKI Jakarta Tahun 2025</t>
  </si>
  <si>
    <t>P253953-01-00</t>
  </si>
  <si>
    <t>Layanan DRC Nomor Akses BRI Life 2025 Site Bali</t>
  </si>
  <si>
    <t>RAI</t>
  </si>
  <si>
    <t>Sakinah Ralea Lestari</t>
  </si>
  <si>
    <t>P254089-02-00</t>
  </si>
  <si>
    <t>Penyediaan Nomor Akses 1500765 PT Bumi Serpong Damai, Tbk (Sinarmasland)</t>
  </si>
  <si>
    <t>FBR</t>
  </si>
  <si>
    <t>Siptrunk Oke(Menunggu Jadwal Testing dari Customer)</t>
  </si>
  <si>
    <t>Febi</t>
  </si>
  <si>
    <t>P254124-01-00</t>
  </si>
  <si>
    <t>Perubahan Paket Abodemen 1500460 PT Majoo Teknologi Indonesia</t>
  </si>
  <si>
    <t>GERRY SUNARYO</t>
  </si>
  <si>
    <t xml:space="preserve">	P254059-01-00</t>
  </si>
  <si>
    <t>Novasi Nomor Akses 1500-786 Sun Life Indonesia</t>
  </si>
  <si>
    <t>Perpanjangan Asuransi Allianz Life Indonesia - Outbound Call (AZLI) </t>
  </si>
  <si>
    <t>IWD</t>
  </si>
  <si>
    <t>P254263-01-00</t>
  </si>
  <si>
    <t>Layanan	Contact	Center	Kejagung	RI	(Periode	8	Bulan	Mei	-	Desember	2025</t>
  </si>
  <si>
    <t>P254011-01-00</t>
  </si>
  <si>
    <t>Layanan Call Center dan Nomor Akses Bank Lampung 2025</t>
  </si>
  <si>
    <t>Loly Aprillisca</t>
  </si>
  <si>
    <t>P254188-02-00</t>
  </si>
  <si>
    <t>Pengadaan	Layanan	CC	Pelita	Air	Service	TA	2025	-	2027</t>
  </si>
  <si>
    <t xml:space="preserve"> EKO	KURNIAWAN</t>
  </si>
  <si>
    <t>P253735-01-00</t>
  </si>
  <si>
    <t>Layanan CC &amp; WA MNC Bank 2025</t>
  </si>
  <si>
    <t>Penyesuaian BW agar bisa Migrasi ke Omnix</t>
  </si>
  <si>
    <t xml:space="preserve">	P254113-03-00</t>
  </si>
  <si>
    <t>Novasi Akses Number 1500481 Untuk Asuransi Bintang 2025</t>
  </si>
  <si>
    <t>MIS</t>
  </si>
  <si>
    <t>P254276-02-00</t>
  </si>
  <si>
    <t>Masking Number Outbound Call 1500985 Sompo Insurance Indonesia</t>
  </si>
  <si>
    <t>P254246-02-00</t>
  </si>
  <si>
    <t>Call Center Quitline Rokok TA 2025</t>
  </si>
  <si>
    <t>KARTIKA ALVIANTY AZIZ</t>
  </si>
  <si>
    <t>P254326-02-00</t>
  </si>
  <si>
    <t>Penyediaan Contact Center Xpeng Indonesia</t>
  </si>
  <si>
    <t>DONE</t>
  </si>
  <si>
    <t>P254339-01-00</t>
  </si>
  <si>
    <t>PENGADAAN CALL CENTER KOTA JAYAPURA 2025</t>
  </si>
  <si>
    <t>SQUAD1</t>
  </si>
  <si>
    <t>SME &amp; REGIONAL SALES</t>
  </si>
  <si>
    <t>GUGUM</t>
  </si>
  <si>
    <t>P254286-01-00</t>
  </si>
  <si>
    <t>(DOM) IT Order Management &amp; Fulfillment Services BAU Support 2025</t>
  </si>
  <si>
    <t>SQUAD2</t>
  </si>
  <si>
    <t>REI</t>
  </si>
  <si>
    <t>TELKOM GROUP SALES</t>
  </si>
  <si>
    <t>Muhammad Arief Ribawa</t>
  </si>
  <si>
    <t> P254205-04-0</t>
  </si>
  <si>
    <t>Novasi Nomor Akses 1500940 PT Axa Financial Indonesia</t>
  </si>
  <si>
    <t>SQUAD4</t>
  </si>
  <si>
    <t>AGUNG RIZQIE ADHI</t>
  </si>
  <si>
    <t>Pembabanan Crossconnect</t>
  </si>
  <si>
    <t>P254135-03-00 </t>
  </si>
  <si>
    <t>Layanan Call Center dan Nomor Akses UNIFAM</t>
  </si>
  <si>
    <t>ANNEKE GINTING</t>
  </si>
  <si>
    <t>P253732-03-00 </t>
  </si>
  <si>
    <t>Pengadaan Jasa Managed Service untuk Operasional Layanan Meterai Elektronik Perum Peruri 2024 - 2025</t>
  </si>
  <si>
    <t>SOE SERVICES SALES</t>
  </si>
  <si>
    <t>DERA KARTIWA SUPRIADI</t>
  </si>
  <si>
    <t xml:space="preserve">	P254349-03-00</t>
  </si>
  <si>
    <t>RPA Recording 188</t>
  </si>
  <si>
    <t xml:space="preserve">DERRY DARANA </t>
  </si>
  <si>
    <t>P254088-02-00</t>
  </si>
  <si>
    <t>Novasi 1500239 Asuransi Ciputra Indonesia</t>
  </si>
  <si>
    <t>MRM</t>
  </si>
  <si>
    <t>Nurjanah</t>
  </si>
  <si>
    <t>P254376-01-00</t>
  </si>
  <si>
    <t>Layanan Omnix Services RS Bethsaida Serang 2025</t>
  </si>
  <si>
    <t>Fadel</t>
  </si>
  <si>
    <t>P254112-03-00</t>
  </si>
  <si>
    <t>Penyediaan nomor akses 1500400 - IDP Education</t>
  </si>
  <si>
    <t>P253971-04-00</t>
  </si>
  <si>
    <t xml:space="preserve">
Novasi Nomor Akses 1500206 PT Yamaha Indonesia Motor Manufacturing</t>
  </si>
  <si>
    <t>2025-04-15 </t>
  </si>
  <si>
    <t xml:space="preserve">
2025-05-30</t>
  </si>
  <si>
    <t>Perpanjangan Nomor Akses 1500653 PT. Onda Mega Integra</t>
  </si>
  <si>
    <t>2025-04-16 </t>
  </si>
  <si>
    <t xml:space="preserve">
2025-05-28</t>
  </si>
  <si>
    <t>P254059-01-00</t>
  </si>
  <si>
    <t>P254006-02-00 </t>
  </si>
  <si>
    <t>TELKOM GROU</t>
  </si>
  <si>
    <t xml:space="preserve">
2025-07-28</t>
  </si>
  <si>
    <t xml:space="preserve">
Penyediaan Nomor Akses 1500765 PT Bumi Serpong Damai, Tbk (Sinarmasland)</t>
  </si>
  <si>
    <t xml:space="preserve">
Yane Anastasia</t>
  </si>
  <si>
    <t xml:space="preserve">
2025-04-29</t>
  </si>
  <si>
    <t>P243690-02-00 </t>
  </si>
  <si>
    <t>Permohonan PSB Link Internet Astinet 1 Mbps SPGDT 119 Dinkes Kab Padang Pariaman Tahun 2025</t>
  </si>
  <si>
    <t>OPS</t>
  </si>
  <si>
    <t>(DOM) IT Order Management &amp; Fulfillment Services BAU Support 2025
Contract Order (CO) Code	3110010020</t>
  </si>
  <si>
    <t>P254385-02-00 </t>
  </si>
  <si>
    <t>Nomor Akses 1500054 Skorlife</t>
  </si>
  <si>
    <t>FADHLI FAUZI</t>
  </si>
  <si>
    <t xml:space="preserve">
2025-09-01</t>
  </si>
  <si>
    <t>P243637-01-00 </t>
  </si>
  <si>
    <t>Layanan Call Center Dinkes 119 Kabupaten Lebak Banten Tahun 2025</t>
  </si>
  <si>
    <t>SME &amp; REGIONAL</t>
  </si>
  <si>
    <t xml:space="preserve">
Raihanah Aprilia Zahra</t>
  </si>
  <si>
    <t>P254113-03-00</t>
  </si>
  <si>
    <t>P243352-02-00</t>
  </si>
  <si>
    <t>Pengadaan Nomor Akses 1500-555 OBC Mandiri 2025</t>
  </si>
  <si>
    <t>MRP</t>
  </si>
  <si>
    <t>SOE SERVICES</t>
  </si>
  <si>
    <t>2025-08-07 </t>
  </si>
  <si>
    <t>P254428-04-00</t>
  </si>
  <si>
    <t>Nomor akses 1500-559 &amp; License PABX</t>
  </si>
  <si>
    <t xml:space="preserve">
2025-09-22</t>
  </si>
  <si>
    <t> P254228-02-00</t>
  </si>
  <si>
    <t>Perpanjangan Layanan Nomor Akses TP-Link 1500960 Periode 2025</t>
  </si>
  <si>
    <t xml:space="preserve">
2025-08-13 </t>
  </si>
  <si>
    <t>P243607-01-00</t>
  </si>
  <si>
    <t>Perpanjangan Pengadaan Pusat Komando Nasional SPGDT Call Center 119 TA 2025</t>
  </si>
  <si>
    <t>GOVERNMENT SALES</t>
  </si>
  <si>
    <t>Koordinasi 152  perangkat sudah bisa menunggu lanjutan dari PM untuk perubahan2 lokasi</t>
  </si>
  <si>
    <t>P243666-07-00</t>
  </si>
  <si>
    <t xml:space="preserve">
Perpanjangan Perangkat Sistem SPGDT 119 Dinas Kesehatan Kota Bandung 2025</t>
  </si>
  <si>
    <t xml:space="preserve">
EKO WINARYO</t>
  </si>
  <si>
    <t>2025-08-14 </t>
  </si>
  <si>
    <t>P253908-10-00</t>
  </si>
  <si>
    <t>Pengadaan Jasa Managed Service Multisite BCC Surabaya Periode 2025</t>
  </si>
  <si>
    <t>P254097-03-00</t>
  </si>
  <si>
    <t>Layanan Contact Center Bank Sulselbar Tahun 2025</t>
  </si>
  <si>
    <t>Bambang Risaldi</t>
  </si>
  <si>
    <t>P254386-02-00</t>
  </si>
  <si>
    <t>Nomor Akses 1500909 Skorcard</t>
  </si>
  <si>
    <t xml:space="preserve">
2025-07-30</t>
  </si>
  <si>
    <t>P259387-01-00</t>
  </si>
  <si>
    <t>Perpanjangan Manage Services CC BJB Digital Voice dan Chatbot AI 2025-2026</t>
  </si>
  <si>
    <t xml:space="preserve">
Fuzi Ridwan Firdaus</t>
  </si>
  <si>
    <t>P254448-01-00</t>
  </si>
  <si>
    <t>Nomor Akses Nasabah Prioritas BRI Life 1500870</t>
  </si>
  <si>
    <t>P254398-03-00</t>
  </si>
  <si>
    <t>Pengadaan Jasa Managed Service Operasional Pertamina Call Center 135 Tahun 2025 - 2028
Contract Order (CO) Code	3110010138</t>
  </si>
  <si>
    <t>EKO KURNIAWAN</t>
  </si>
  <si>
    <t xml:space="preserve">
2025-09-10</t>
  </si>
  <si>
    <t>P254466-01-00</t>
  </si>
  <si>
    <t>Nomor Akses RS Mulya Medika Tahun 2025</t>
  </si>
  <si>
    <t xml:space="preserve">
Deni Septianto</t>
  </si>
  <si>
    <t>PBX belum support SIP</t>
  </si>
  <si>
    <t>P243375-02-00 </t>
  </si>
  <si>
    <t xml:space="preserve">
ADIRIA</t>
  </si>
  <si>
    <t>2025-01-01 </t>
  </si>
  <si>
    <t xml:space="preserve">
2025-02-21</t>
  </si>
  <si>
    <t>P254447-03-00</t>
  </si>
  <si>
    <t>Layanan Call Center Disdukcapil Pemprov DKI Jakarta</t>
  </si>
  <si>
    <t> SME &amp; REGIONAL SALES</t>
  </si>
  <si>
    <t>P254461-02-00 </t>
  </si>
  <si>
    <t>Pengadaan Jasa Layanan Call Center Telephony BSI 2025</t>
  </si>
  <si>
    <t xml:space="preserve">
2025-12-31</t>
  </si>
  <si>
    <t>Integrasi dengan Salesforce</t>
  </si>
  <si>
    <t>P254272-06-00</t>
  </si>
  <si>
    <t>Perpanjangan Pengadaan Layanan Nomor Akses 1500955 PT Jalin Pembayaran Nusantara 2025 - 2027</t>
  </si>
  <si>
    <t xml:space="preserve">
DERA KARTIWA SUPRIADI</t>
  </si>
  <si>
    <t>2025-09-25 </t>
  </si>
  <si>
    <t xml:space="preserve">
2025-10-29</t>
  </si>
  <si>
    <t>P254458-04-00</t>
  </si>
  <si>
    <t xml:space="preserve">
Pengadaan Pekerjaan Layanan Customer Service Virtual (V-Serve) Tahun 2025</t>
  </si>
  <si>
    <t>P254497-04-00</t>
  </si>
  <si>
    <t>Pengadaan Aplikasi Contact Center Bank Papua 2025-2026 + Outbound Call</t>
  </si>
  <si>
    <t>Belum bisa call dari omnix</t>
  </si>
  <si>
    <t>P254377-04-00</t>
  </si>
  <si>
    <t xml:space="preserve">
Total Solusi Contact Center - Omarco Edusav Produk 2025</t>
  </si>
  <si>
    <t>Hold</t>
  </si>
  <si>
    <r>
      <t>F254515-02-00</t>
    </r>
    <r>
      <rPr>
        <sz val="10"/>
        <color rgb="FF222222"/>
        <rFont val="Helvetica"/>
        <charset val="1"/>
      </rPr>
      <t> </t>
    </r>
  </si>
  <si>
    <t>Layanan Contact center Dering Adira (September-November 2025)</t>
  </si>
  <si>
    <t xml:space="preserve">
2025-11-18</t>
  </si>
  <si>
    <t>P254593-02-00</t>
  </si>
  <si>
    <t xml:space="preserve">
Masking Outbound PT Bank JTrust</t>
  </si>
  <si>
    <t xml:space="preserve">
2025-11-05</t>
  </si>
  <si>
    <t>P254608-01-00 </t>
  </si>
  <si>
    <t>Masking Outbond 1500286 Verifikasi Data Calon Nasabah BTN</t>
  </si>
  <si>
    <t>2025-10-13 </t>
  </si>
  <si>
    <t> P231566-02-00</t>
  </si>
  <si>
    <t>Jasa Layanan Project PT Garuda Indonesia (Persero) Tbk</t>
  </si>
  <si>
    <t>tunggu SPMP ke Telkom</t>
  </si>
  <si>
    <t>P254613-01-00</t>
  </si>
  <si>
    <t>Perpanjangan Nomor Akses 1500345 &amp; Penambahan Masking Outbound PT. Astra Graphia periode (1 September 2025</t>
  </si>
  <si>
    <t>2025-10-20 </t>
  </si>
  <si>
    <t>P254667-02-00</t>
  </si>
  <si>
    <t>Perpanjangan Layanan Call Center Bank Mestika 2025 - 2026</t>
  </si>
  <si>
    <t>Reva Tama Putra</t>
  </si>
  <si>
    <t>Astinet belum aktif</t>
  </si>
  <si>
    <t>P254641-03-00</t>
  </si>
  <si>
    <t>Pengadaan Penyediaan Jasa Contact Center Tahun 2025 PT Pos Indonesia (Persero)</t>
  </si>
  <si>
    <t>2025-10-23 </t>
  </si>
  <si>
    <t xml:space="preserve">
2026-01-16</t>
  </si>
  <si>
    <t>Terminasi Astinet</t>
  </si>
  <si>
    <t>Reza</t>
  </si>
  <si>
    <t>F254745-01-00</t>
  </si>
  <si>
    <t>Pengelolaan Collection Convergence Telkomsel Area 1</t>
  </si>
  <si>
    <t>IPIK MIMBO BUSONO</t>
  </si>
  <si>
    <t>Proses Aktivasi Astinet di DC (AO belum Release)</t>
  </si>
  <si>
    <t>P254673-01-00</t>
  </si>
  <si>
    <t>Layanan Call Center 112 Dinas Kominfo Kab Toraja Utara</t>
  </si>
  <si>
    <t>17-11-2025</t>
  </si>
  <si>
    <t>19-12-2025</t>
  </si>
  <si>
    <t>P254499-01-00</t>
  </si>
  <si>
    <t>POC Layanan Emergency Response Center 112 Kabupaten Gianyar</t>
  </si>
  <si>
    <t>P254714-01-00</t>
  </si>
  <si>
    <t>Project Diskominfo Madiun 2025</t>
  </si>
  <si>
    <t>30-10-2025</t>
  </si>
  <si>
    <t>28-11-2025</t>
  </si>
  <si>
    <t>Aktivasi 112 Kota Madiun</t>
  </si>
  <si>
    <t>P254762-01-00</t>
  </si>
  <si>
    <t>Pengadaan Jasa Lainnya Pekerjaan Penyelenggaraan System Platform Omnichannel dan Seat Management CC JMTC TA 2025</t>
  </si>
  <si>
    <t>19-11-2025</t>
  </si>
  <si>
    <t>Pengadaan Penyediaan Jasa Contact Center Tahun 2025-2027 PT Pos Indonesia (Persero)</t>
  </si>
  <si>
    <t>Arini</t>
  </si>
  <si>
    <t>23-10-2025</t>
  </si>
  <si>
    <t>16-12-2025</t>
  </si>
  <si>
    <t>Aktivasi Astinet Baru</t>
  </si>
  <si>
    <t>P254443-03-00</t>
  </si>
  <si>
    <t>Pengadaan Manage Operation Call Center Outbound dan Chatbot PT Pesonna Optima Jasa Tahun 2025</t>
  </si>
  <si>
    <t>26-08-2025</t>
  </si>
  <si>
    <t>20-10-2025</t>
  </si>
  <si>
    <t>UAT</t>
  </si>
  <si>
    <t>Pengadaan Video Banking Digital Branch BTN Menara 2</t>
  </si>
  <si>
    <t>Non Project</t>
  </si>
  <si>
    <t>Pengadaan VM Digireview Telkom SDA</t>
  </si>
  <si>
    <t>Proses VAPT</t>
  </si>
  <si>
    <t>Migrasi Omnix Bank Nagari</t>
  </si>
  <si>
    <t>Integrasi IPSec</t>
  </si>
  <si>
    <t>P254571-01-00</t>
  </si>
  <si>
    <t>Penyediaan Voicebot Gen AI Reddoorz</t>
  </si>
  <si>
    <t>PRIVATE SERVICES SALES</t>
  </si>
  <si>
    <t>IGN. ANGGA WIDYA PUTRA</t>
  </si>
  <si>
    <t>P254305-04-00</t>
  </si>
  <si>
    <t>Pengadaan License OmniX BTN 2025</t>
  </si>
  <si>
    <t>F254805-01-0</t>
  </si>
  <si>
    <t>Pra PO - Pengadaan Kegiatan Fasilitasi Penyelesaian Masalah Dalam Rangka Validasi Data Pelaku Usaha BKPM TA 2025</t>
  </si>
  <si>
    <t>AKHMAD YANI</t>
  </si>
  <si>
    <t xml:space="preserve">
2025-12-19</t>
  </si>
  <si>
    <t>P254715-04-00</t>
  </si>
  <si>
    <t>Perpanjangan Pekerjaan Full Managed Service Contact Center ASDP 191 Tahun 2025 - 2026</t>
  </si>
  <si>
    <t>2025-11-28 03</t>
  </si>
  <si>
    <t> P242802-02-00</t>
  </si>
  <si>
    <t>CIM Convergency Telkomsel (1 April 2024 s.d. 31 Maret 2027) PNTL</t>
  </si>
  <si>
    <t>P254281-02-00</t>
  </si>
  <si>
    <t xml:space="preserve">
Layanan Call Center PDAM Kota Padang Tahun 2025</t>
  </si>
  <si>
    <t>P254814-01-00</t>
  </si>
  <si>
    <t>Layanan Nomor Akses RSK Dharmais TA 2026-2028</t>
  </si>
  <si>
    <t>P254820-02-00 </t>
  </si>
  <si>
    <t>Backup Link IP Public Bank Capital 2025</t>
  </si>
  <si>
    <t>P254850-01-00</t>
  </si>
  <si>
    <t>Layanan Call Center 1500202 RS Kariadi 2026</t>
  </si>
  <si>
    <t>Syarifuloh</t>
  </si>
  <si>
    <t>P254585-06-00</t>
  </si>
  <si>
    <t>Engineering Call Center HM Sampoerna (2026-2029)</t>
  </si>
  <si>
    <t xml:space="preserve">
IGN. ANGGA WIDYA PUTRA</t>
  </si>
  <si>
    <t>P254654-01-00</t>
  </si>
  <si>
    <t xml:space="preserve">
Outbound Call FMC Product Stage 2</t>
  </si>
  <si>
    <t>2025-12-19 </t>
  </si>
  <si>
    <t>P254969-01-00</t>
  </si>
  <si>
    <t>Nomor Akses Outbond Call Fraud 1500286 BTN</t>
  </si>
  <si>
    <t>MRR</t>
  </si>
  <si>
    <t>24/12/2025</t>
  </si>
  <si>
    <t>23/12/2025</t>
  </si>
  <si>
    <t xml:space="preserve">	P254910-01-00</t>
  </si>
  <si>
    <t>Contact Center LPSK 2026</t>
  </si>
  <si>
    <t>P254461-02-00</t>
  </si>
  <si>
    <t> P254910-01-00</t>
  </si>
  <si>
    <t xml:space="preserve">
P254866-02-00</t>
  </si>
  <si>
    <t>Perpanjangan Kontrak Contact Center Complain Handling Taspen Periode 2026</t>
  </si>
  <si>
    <t>P255048-02-00 </t>
  </si>
  <si>
    <t xml:space="preserve">
CALL CENTER OMNICHANNEL 1500092 - KONTAK BUPATI BADUNG</t>
  </si>
  <si>
    <t>P254619-02-00</t>
  </si>
  <si>
    <t>Layanan Digital Voice Bank Jatim</t>
  </si>
  <si>
    <t>F254997-01-00</t>
  </si>
  <si>
    <t>Pra PO - Managed Service Contact Center Kemdiktisaintek TA 2026</t>
  </si>
  <si>
    <t xml:space="preserve">CRM2	</t>
  </si>
  <si>
    <t>RICKA WINATHA</t>
  </si>
  <si>
    <t>P254846-02-00</t>
  </si>
  <si>
    <t>Migrasi SIP Trunk 9 Nomor Akses &amp; Upgrade Harga Abodemen 10 Nomor 1500XYZ yang di kelola oleh Astra World</t>
  </si>
  <si>
    <t>P254863-02-00 </t>
  </si>
  <si>
    <t>Nomor akses 1500815</t>
  </si>
  <si>
    <t>P254745-01-00</t>
  </si>
  <si>
    <t>alokasi ip lan di sisi telkomsel</t>
  </si>
  <si>
    <t>P254980-03-00 </t>
  </si>
  <si>
    <t>Perpanjangan Call Center RSUD Soetomo 2026</t>
  </si>
  <si>
    <t>Aktivasi Metro(AO blm release)</t>
  </si>
  <si>
    <t>P255043-01-00</t>
  </si>
  <si>
    <t xml:space="preserve">	Pengadaan Pemindahan Layanan Manage Service CC Damri</t>
  </si>
  <si>
    <t xml:space="preserve">	P242806-08-00</t>
  </si>
  <si>
    <t>Novasi Layanan Nomor Akses 1500009 PT Serasi Auto Raya</t>
  </si>
  <si>
    <t>23/01/2026</t>
  </si>
  <si>
    <t>25/02/2026</t>
  </si>
  <si>
    <t>butuh kordinasi dengan Vendor PBX (Awo) terkait trunking dari SBC ke PBX</t>
  </si>
  <si>
    <t>F254999-01-00</t>
  </si>
  <si>
    <t>Penyediaan Jasa Layanan Contact Center PT. Prodia Widyahusada 2026-2027</t>
  </si>
  <si>
    <t>P254663-02-00</t>
  </si>
  <si>
    <t>Layanan Digital Contact Center KB Bank 2025-2026</t>
  </si>
  <si>
    <t>DIVISI BFI SERVICES</t>
  </si>
  <si>
    <t>P254664-05-00</t>
  </si>
  <si>
    <t>Manage Services Layanan Contact Center &amp; Nomor Akses Tokio Marine 2026</t>
  </si>
  <si>
    <t>SQUAD3</t>
  </si>
  <si>
    <t>P265214-01-00</t>
  </si>
  <si>
    <t>Nomor Akses 1500-558 Megavision</t>
  </si>
  <si>
    <t>P265281-00-00</t>
  </si>
  <si>
    <t>ra PO Pengadaan Nomor Akses PT. Jasamarga Tollroad Operator 133 TA 2026</t>
  </si>
  <si>
    <t>EY</t>
  </si>
  <si>
    <t>NDUSTRIAL &amp; CONSUMER SERVICES</t>
  </si>
  <si>
    <t>c</t>
  </si>
  <si>
    <t>P254507-08-00</t>
  </si>
  <si>
    <t>Layanan Manage Telephony PT Asuransi Jiwa Inhealth Indonesia</t>
  </si>
  <si>
    <t>F255006-03-00</t>
  </si>
  <si>
    <t>Layanan Contact Center Finnet 2026</t>
  </si>
  <si>
    <t>BDA</t>
  </si>
  <si>
    <t>DIVISI IT &amp; TELCO SERVICES</t>
  </si>
  <si>
    <t>META YUNI WATANIA</t>
  </si>
  <si>
    <t>P254858-02-00</t>
  </si>
  <si>
    <t>Nomor Akses 150885 Seainsurance</t>
  </si>
  <si>
    <t>BFI SERVICES</t>
  </si>
  <si>
    <t>P254844-02-00</t>
  </si>
  <si>
    <t>Layanan Contact Center Bank BJB Syariah 2026 - 2027</t>
  </si>
  <si>
    <t>F255038-07-00</t>
  </si>
  <si>
    <t>PRA PO Omnix SaaS XLSmart - Bank Sinarmas 2026</t>
  </si>
  <si>
    <t>AHMAD MUHARROM</t>
  </si>
  <si>
    <t>IT &amp; TELCO SERVICES</t>
  </si>
  <si>
    <t>ENDY PANDU WINATA</t>
  </si>
  <si>
    <t>P265257-02-00</t>
  </si>
  <si>
    <t>Masking Outbound 1500999</t>
  </si>
  <si>
    <t>P265272-01-00 </t>
  </si>
  <si>
    <t>Pengadaan Pengembangan Layanan Managed Service Contact Center PT Pegadaian 30 SDM Jogja</t>
  </si>
  <si>
    <t>F254816-04-00</t>
  </si>
  <si>
    <t>Pra PO Pengadaan Manage Service CC BRI Semarang 2026-2027</t>
  </si>
  <si>
    <t>P254699-02-00</t>
  </si>
  <si>
    <t>SIP TRUNK CONNECTIVITY BCA 2025</t>
  </si>
  <si>
    <t>P265065-01-00 </t>
  </si>
  <si>
    <t>Layanan Contact Center Kementerian Koperasi TA 2026</t>
  </si>
  <si>
    <t>GOVERNMENT &amp; ENERGY SERVICES</t>
  </si>
  <si>
    <t>RICKA WINATH</t>
  </si>
  <si>
    <t>P265242-01-00 </t>
  </si>
  <si>
    <t>Nomor akses 1500676 &amp; System Omnix MPM Insurance</t>
  </si>
  <si>
    <t>FRA</t>
  </si>
  <si>
    <t>BFI SERVICE</t>
  </si>
  <si>
    <t>P255024-01-00</t>
  </si>
  <si>
    <t>Verification Bank Danamon</t>
  </si>
  <si>
    <t>P265339-01-00</t>
  </si>
  <si>
    <t>Penyediaan Sistem Call Center 115 BASARNAS TA 2026</t>
  </si>
  <si>
    <t>P260018-RSAB</t>
  </si>
  <si>
    <t>Nomor Akses 1500007 PT Famon Awal Bros Sedaya Tbk</t>
  </si>
  <si>
    <t>12.800.004</t>
  </si>
  <si>
    <t>INDUSTRIAL AND CONSUMER SERVICE</t>
  </si>
  <si>
    <t>P265246-01-00</t>
  </si>
  <si>
    <t>Nomor Akses 1500686 OTO Multiartha</t>
  </si>
  <si>
    <t>P265342-01-00</t>
  </si>
  <si>
    <t>Penyediaan Layanan Call Center No Akses PT Wahana Wirawan (Indomobil)</t>
  </si>
  <si>
    <t>INDUSTRIAL &amp; CONSUMER SERVICES</t>
  </si>
  <si>
    <t>P265229-01-00</t>
  </si>
  <si>
    <t>Perpanjangan &amp; Pengembangan Pusat Komando Nasional SPGDT Call Center 119 TA 2026 </t>
  </si>
  <si>
    <t> P254215-01-00</t>
  </si>
  <si>
    <t>Perpanjangan Nomor Akses 1500167 OVO Periode 2025 - 2027</t>
  </si>
  <si>
    <t> P260216-BPDL</t>
  </si>
  <si>
    <t>Perpanjangan Contact Center BPD Bali 2026</t>
  </si>
  <si>
    <t> 335.000.000</t>
  </si>
  <si>
    <t xml:space="preserve">
FADEL FADEL</t>
  </si>
  <si>
    <t xml:space="preserve">
24/06/2026</t>
  </si>
  <si>
    <t xml:space="preserve">
01/07/2026</t>
  </si>
  <si>
    <t>P255056-01-00 </t>
  </si>
  <si>
    <t>Perpanjangan Layanan No Akses 1500630 Kemnaker TA 2026</t>
  </si>
  <si>
    <t>PRA260287-ACME</t>
  </si>
  <si>
    <t>Outbound Call FMC Product Stage 3 - TAF6</t>
  </si>
  <si>
    <t>11.543.678.078</t>
  </si>
  <si>
    <t>TELKOMSEL SERVICES</t>
  </si>
  <si>
    <t>INDRA GUNAWAN</t>
  </si>
  <si>
    <t>29/06/2026</t>
  </si>
  <si>
    <t>P260017-HANA </t>
  </si>
  <si>
    <t>Masking Outbound 1500021 Hana Bank</t>
  </si>
  <si>
    <t>104.250.000</t>
  </si>
  <si>
    <t>22/06/2026</t>
  </si>
  <si>
    <t xml:space="preserve">
P260235-RSEL</t>
  </si>
  <si>
    <t xml:space="preserve">
Layanan Omnix Voice dan Whatsapp RS Elisabeth Semarang 2026-2028</t>
  </si>
  <si>
    <t>481.200.000</t>
  </si>
  <si>
    <t>DIVISI INDUSTRIAL &amp; CONSUMER SERVICES</t>
  </si>
  <si>
    <t>Low</t>
  </si>
  <si>
    <t>SYARIFULOH </t>
  </si>
  <si>
    <t xml:space="preserve">
13/08/2026</t>
  </si>
  <si>
    <t>2026-03-06 03</t>
  </si>
  <si>
    <t>PRA260232-BPIK</t>
  </si>
  <si>
    <t xml:space="preserve">
Contact Center Badan Pengendalian Pembangunan dan Investigasi Khusus 2026</t>
  </si>
  <si>
    <t>832.281.824</t>
  </si>
  <si>
    <t>LOW</t>
  </si>
  <si>
    <t xml:space="preserve">
M FADJRIANSYAH KUMARA</t>
  </si>
  <si>
    <t xml:space="preserve">
07/07/2026</t>
  </si>
  <si>
    <t>Migrasi SIP Trunk 9 Nomor Akses &amp; Upgrade Harga Abodemen 10 Nomor 1500XYZ yang di kelola oleh Astra World PR</t>
  </si>
  <si>
    <t>Raisa</t>
  </si>
  <si>
    <t xml:space="preserve">
PRA260335-BNPB</t>
  </si>
  <si>
    <t>Sistem CRM Layanan Contact Center Badan Nasional Penanggulangan Bencana (BNPB) TA. 2026</t>
  </si>
  <si>
    <t>239.516.410</t>
  </si>
  <si>
    <t>Sri Ayu Hulasoh</t>
  </si>
  <si>
    <t>NO</t>
  </si>
  <si>
    <t>Tanggal</t>
  </si>
  <si>
    <t>DASAR ORDER</t>
  </si>
  <si>
    <t>NO SURAT MODIN</t>
  </si>
  <si>
    <t>JENIS ORDER</t>
  </si>
  <si>
    <t>KLASIFIKASI ORDER</t>
  </si>
  <si>
    <t>PROVIDER</t>
  </si>
  <si>
    <t>AKHIR KONTRAK</t>
  </si>
  <si>
    <t>SISA KONTRAK</t>
  </si>
  <si>
    <t>NO ORDER</t>
  </si>
  <si>
    <t>SID 1</t>
  </si>
  <si>
    <t>SID 2</t>
  </si>
  <si>
    <t>IP Address</t>
  </si>
  <si>
    <t>KETERANGAN</t>
  </si>
  <si>
    <t>STATUS</t>
  </si>
  <si>
    <t>Task</t>
  </si>
  <si>
    <t>harga</t>
  </si>
  <si>
    <t>NO BA</t>
  </si>
  <si>
    <t>TGL BA</t>
  </si>
  <si>
    <t>File BA</t>
  </si>
  <si>
    <t>Permohonan percepatan aktivasi 150410 Layanan Bapenda JABAR</t>
  </si>
  <si>
    <t>Aktivasi</t>
  </si>
  <si>
    <t>Telkom DWS</t>
  </si>
  <si>
    <t>2-1789696190</t>
  </si>
  <si>
    <t>Close</t>
  </si>
  <si>
    <t>file</t>
  </si>
  <si>
    <t>Permohonan Aktivasi Astinet Dana di Site Infomedia</t>
  </si>
  <si>
    <t>Connectivity</t>
  </si>
  <si>
    <t>2-1994394079</t>
  </si>
  <si>
    <t>Permohonan link backup metro dan backup internet Graha intan Jogya beda catuan odp</t>
  </si>
  <si>
    <t>2-1996205782</t>
  </si>
  <si>
    <t>2-1996201116</t>
  </si>
  <si>
    <t>Permohonan Aktivasi Astinet 1 Mbps Layanan Asabri</t>
  </si>
  <si>
    <t>2-2002211739</t>
  </si>
  <si>
    <t>Permohonan link Metro p2p 4 mbps interactive DC Infomedia Dan DC Cyber Apjii PT Persada Makmur Indonesia</t>
  </si>
  <si>
    <t>2-2003014759</t>
  </si>
  <si>
    <t>Permohonan Aktivasi Astinet 10 Mbps Layanan BJB</t>
  </si>
  <si>
    <t>2-1994372762</t>
  </si>
  <si>
    <t>Permohonan Novasi (Perubahan Nomor Translasi , Nomor Billing dan Channel Berlangganan) Nomor Akses 1500310 PT Zulu Alpha Papa (ZAP)</t>
  </si>
  <si>
    <t>Novasi</t>
  </si>
  <si>
    <t>2-2006902048</t>
  </si>
  <si>
    <t xml:space="preserve">3700038-0028505709 </t>
  </si>
  <si>
    <t>Permohonan PSB Link Metro E Interaktif 2 Mbps dan Masking Outbound 1500989 PT Astra Honda Motor</t>
  </si>
  <si>
    <t>P232338-03-00</t>
  </si>
  <si>
    <t>2-2122341809</t>
  </si>
  <si>
    <t>Permohonan PSB link Metro E BRI Ragunan To DC Infomedia Jatinegara</t>
  </si>
  <si>
    <t>2-2075528687</t>
  </si>
  <si>
    <t>Astinet Seamless Tendean</t>
  </si>
  <si>
    <t xml:space="preserve">2-2106897759 </t>
  </si>
  <si>
    <t>Aktivasi Nomor Akses 144 Layanan LKPP</t>
  </si>
  <si>
    <t>00020/IN/INF2340122/24</t>
  </si>
  <si>
    <t>3700038-0028304160</t>
  </si>
  <si>
    <t>No 64 /YN 000/DR2–11220000/2024</t>
  </si>
  <si>
    <t>Aktivasi Nomor Akses 152 Layanan DJKI</t>
  </si>
  <si>
    <t>00025/IN/INF2340122/24</t>
  </si>
  <si>
    <t>2-2129927421</t>
  </si>
  <si>
    <t>No: 807/YN 000/DR2–11220000/2024</t>
  </si>
  <si>
    <t>Aktivasi Masking Outbond 1500907 PT Affinity Health Indonesia</t>
  </si>
  <si>
    <t>P232267-03-00</t>
  </si>
  <si>
    <t>00054/IN/INF2340122/24</t>
  </si>
  <si>
    <t>2-2140073973</t>
  </si>
  <si>
    <t>No: 812/YN 000/DR2–11220000/2024</t>
  </si>
  <si>
    <t>Aktivasi Nomor Akses 1500882  PT Mora Telematik Indonesia (MORATELINDO)</t>
  </si>
  <si>
    <t>00068/IN/INF2340122/24</t>
  </si>
  <si>
    <t>2-2143307693</t>
  </si>
  <si>
    <t>No 1092 /YN 000/DR2–11220000/2024</t>
  </si>
  <si>
    <t>aktivasi Masking
Nomor Akses 1500275 PT. Anugerah Pharmindo Lestari</t>
  </si>
  <si>
    <t xml:space="preserve"> P232486-02-00</t>
  </si>
  <si>
    <t>00071/IN/INF2340122/24</t>
  </si>
  <si>
    <t>2-2143644304</t>
  </si>
  <si>
    <t>3700038-0029465223</t>
  </si>
  <si>
    <t>No: 957/YN 000/DR2–11220000/2024</t>
  </si>
  <si>
    <t>Penambahan Nomor Masking Outbound 
Bank Syariah Indonesia</t>
  </si>
  <si>
    <t>00073/IN/INF2340122/24</t>
  </si>
  <si>
    <t>Masking : 2-2143315186</t>
  </si>
  <si>
    <t>3700038-45259</t>
  </si>
  <si>
    <t>No 837/YN 000/DR2–11220000/2024</t>
  </si>
  <si>
    <t>Aktivasi Nomor Akses 1500019 Layanan RSIA Cikampek</t>
  </si>
  <si>
    <t>00010/IN/INF2430233/24</t>
  </si>
  <si>
    <t>2-2149111663</t>
  </si>
  <si>
    <t>No 1167/YN 000/DR2–11220000/2024</t>
  </si>
  <si>
    <t>Aktivasi Nomor Akses 150707 Bank India</t>
  </si>
  <si>
    <t>00017/IN/INF2430233/24</t>
  </si>
  <si>
    <t>2-2153037541</t>
  </si>
  <si>
    <t>No 1377/YN 000/DR2–11220000/2024</t>
  </si>
  <si>
    <t>Aktivasi Nomor Akses 1500211 Layanan BPRKS</t>
  </si>
  <si>
    <t>00057/IN/INF2430233/24</t>
  </si>
  <si>
    <t>2-2161131461</t>
  </si>
  <si>
    <t>Aktivasi Nomor Akses 1500598 Adhivasindo</t>
  </si>
  <si>
    <t>00060/IN/INF2430233/24</t>
  </si>
  <si>
    <t> 2-2163078394</t>
  </si>
  <si>
    <t>aktivasi no akses inbound ,masking outbound 1500217 Layanan BRILIfe</t>
  </si>
  <si>
    <t>P242801–01-00</t>
  </si>
  <si>
    <t>00084/IN/INF2430233/24</t>
  </si>
  <si>
    <t>2-2166294501</t>
  </si>
  <si>
    <t>Aktivasi metro bank fama</t>
  </si>
  <si>
    <t>2-2166580141</t>
  </si>
  <si>
    <t>Aktivasi Nomor Akses 150511 Layanan Perumda Tirta Kanjuruhan Kab Malang</t>
  </si>
  <si>
    <t>00131/IN/INF2430233/24</t>
  </si>
  <si>
    <t>2-2183638455</t>
  </si>
  <si>
    <t>No 2087/YN 000/DR2–11220000/2024</t>
  </si>
  <si>
    <t>Masking Outbound Nomor Akses 1500333 Bank Fama (PT Super Bank
Indonesia)</t>
  </si>
  <si>
    <t>00139/IN/INF2430233/24</t>
  </si>
  <si>
    <t>2-2186074350</t>
  </si>
  <si>
    <t>24CIN10F0046 - IO PT Super Bank Indonesia 2024</t>
  </si>
  <si>
    <t>No 2134/YN 000/DR2–11220000/2024</t>
  </si>
  <si>
    <t>Aktivasi dan Masking Outbound Nomor Akses 1500063 PT Persada Makmur
Indonesia</t>
  </si>
  <si>
    <t>00147/IN/INF2430233/24</t>
  </si>
  <si>
    <t>2-2186095404</t>
  </si>
  <si>
    <t>24CIN10F0039 - IO CC 1500063 PT Persada Makmur Indonesia</t>
  </si>
  <si>
    <t>No: 2722/YN 000/DR2–11220000/2024</t>
  </si>
  <si>
    <t>Masking Outbound Nomor Akses 1500818 PT EKA MAS REPUBLIK (My Republik)</t>
  </si>
  <si>
    <t>00154/IN/INF2430233/24</t>
  </si>
  <si>
    <t>2-2189531833</t>
  </si>
  <si>
    <t>24CIN10F0049 - IO Masking Number No Akses 1500818 PT EKA MAS REPUBLIK</t>
  </si>
  <si>
    <t>No 2179/YN 000/DR2–11220000/2024</t>
  </si>
  <si>
    <t>Masking Outbound Nomor Akses 1500045 PT BNI Life Insurance</t>
  </si>
  <si>
    <t>00156/IN/INF2430233/24</t>
  </si>
  <si>
    <t>2-2189528724</t>
  </si>
  <si>
    <t>24CIN10F0041-IOCC1500045 PT BNI LIFE</t>
  </si>
  <si>
    <t>No 2181/YN 000/DR2–11220000/2024</t>
  </si>
  <si>
    <t>Aktivasi Nomor Akses 1500858 Nasmoco Semarang dan Nomor Akses 1500202 RSUP Dr Kariadi (Kariadi)</t>
  </si>
  <si>
    <t>00003/M/INF24251/24</t>
  </si>
  <si>
    <t>00174/IN/INF2430233/24</t>
  </si>
  <si>
    <t>2-2194853153</t>
  </si>
  <si>
    <t>Aktivasi Nomor Akses 1500858 Nasmoco Semarang dan Nomor Akses 1500202 RSUP Dr Kariadi (Nasmoco)</t>
  </si>
  <si>
    <t>2-2194852752</t>
  </si>
  <si>
    <t>Permohonan masking outbound 1500250 Layanan Dinas Telkom TENESA</t>
  </si>
  <si>
    <t>C.Tel.150/UM 000/SDA-D4050000/2024</t>
  </si>
  <si>
    <t>00182/IN/INF2430233/24</t>
  </si>
  <si>
    <t>2-2198168939</t>
  </si>
  <si>
    <t>Aktivasi Nomor Akses 1500910 PT Bank Hibank Indonesia</t>
  </si>
  <si>
    <t> 2-2200767238</t>
  </si>
  <si>
    <t>Aktivasi Nomor Akses 1500629 &amp; Aktivasi Astinet PT HISI (Astinet)</t>
  </si>
  <si>
    <t>P242965-04-00 </t>
  </si>
  <si>
    <t>00223/IN/INF2430233/24</t>
  </si>
  <si>
    <t>2-2208395513</t>
  </si>
  <si>
    <t>Permohonan Aktivasi Nomor Akses 1500699 &amp; Masking Outbond 1500699 Mazuta Group</t>
  </si>
  <si>
    <t>00235/IN/INF2430233/24</t>
  </si>
  <si>
    <t>2-2213657240</t>
  </si>
  <si>
    <t>Aktivasi Nomor Akses 150922 RS NGOERAH</t>
  </si>
  <si>
    <t>00240/IN/INF2430233/24</t>
  </si>
  <si>
    <t>2-2217798861</t>
  </si>
  <si>
    <t>30/07/2024</t>
  </si>
  <si>
    <t>Masking Outbound Nomor Akses 1500654 PT. PERMODALAN NASIONAL MADANI</t>
  </si>
  <si>
    <t>00264/IN/INF2430233/24</t>
  </si>
  <si>
    <t>2-2229514103</t>
  </si>
  <si>
    <t>31/07/2024</t>
  </si>
  <si>
    <t>PSB Link Metro E 8 Mbps dan Masking Outbound Nomor Akses 1500600 Pizza Hut (Masking)</t>
  </si>
  <si>
    <t>00268/IN/INF2430233/24</t>
  </si>
  <si>
    <t>2-2231200333</t>
  </si>
  <si>
    <t>Masking Outbound Nomor Akses 1500569 PEGADAIAN</t>
  </si>
  <si>
    <t>00270/IN/INF2430233/24</t>
  </si>
  <si>
    <t>2-2231219080</t>
  </si>
  <si>
    <t>Aktivasi Nomor Akses 150109 dan 1500109 PT Patra Logistik</t>
  </si>
  <si>
    <t>P243122-02-00 </t>
  </si>
  <si>
    <t>00275/M/INF2430233/24</t>
  </si>
  <si>
    <t>PSB Link Metro E 8 Mbps dan Masking Outbound Nomor Akses 1500111 dan
1500399 a.n Bank Permata (Metro)</t>
  </si>
  <si>
    <t>00279/IN/INF2430233/24</t>
  </si>
  <si>
    <t>2-2234226179</t>
  </si>
  <si>
    <t>13/8/2024</t>
  </si>
  <si>
    <t>PSB Metro E Interaktif 1 Mbps Dc Jatinegara ke Site Infomedia Sri Ratu Semarang</t>
  </si>
  <si>
    <t>00289/IN/INF2430233/2024</t>
  </si>
  <si>
    <t>2-2237950236</t>
  </si>
  <si>
    <t>14/8/2024</t>
  </si>
  <si>
    <t>PSB Metro E Interaktif 3 Mbps DC PAC BPD Jambi ke DC Infomedia Jatinegara</t>
  </si>
  <si>
    <t>00292/IN/INF2430233/2024</t>
  </si>
  <si>
    <t>15/8/2024</t>
  </si>
  <si>
    <t>PSB Link Metro E 1 Mbps BJB Syariah Site Infomedia TBB ke DC Infomedia Jatinegara</t>
  </si>
  <si>
    <t>00296/M/INF2430233/2024</t>
  </si>
  <si>
    <t>16/8/2024</t>
  </si>
  <si>
    <t>PSB Link Metro E 2 Mbps Allianz DCI CIbitung ke Infomedia Sri Ratu Semarang</t>
  </si>
  <si>
    <t>00298/M/INF2430233/2024</t>
  </si>
  <si>
    <t>Telkom DES</t>
  </si>
  <si>
    <t>21/8/2024</t>
  </si>
  <si>
    <t>Aktivasi Metro 2 Mbps Layanan Erajaya</t>
  </si>
  <si>
    <t>00302/IN/INF2430233/2024</t>
  </si>
  <si>
    <t>2-2241539297</t>
  </si>
  <si>
    <t>22/8/2024</t>
  </si>
  <si>
    <t>Aktivasi Metro 4 Mbps Layanan Trakindo</t>
  </si>
  <si>
    <t>00301/IN/INF2430233/2024</t>
  </si>
  <si>
    <t> 2-2242493996</t>
  </si>
  <si>
    <t>Aktivasi Masking Outbond 1500473 Layanan GSD</t>
  </si>
  <si>
    <t>00306/IN/INF2430233/2024</t>
  </si>
  <si>
    <t>2-2244717646</t>
  </si>
  <si>
    <t>23/8/2024</t>
  </si>
  <si>
    <t>PSB Infrastruktur Layanan BES Telkomsel Site Infomedia Tendean</t>
  </si>
  <si>
    <t>00090/M/INF24322/2024</t>
  </si>
  <si>
    <t>00304/IN/INF2430233/2024</t>
  </si>
  <si>
    <t>Upgrade</t>
  </si>
  <si>
    <t>2-2253635127</t>
  </si>
  <si>
    <t>Masking Outbound Nomor Akses 1500525 PT FWD Insurance Indonesia</t>
  </si>
  <si>
    <t>00324/IN/INF2430233/2024</t>
  </si>
  <si>
    <t>telkom DWS</t>
  </si>
  <si>
    <t>2-2254947776</t>
  </si>
  <si>
    <t>Masking Outbound Nomor Akses 1500525 PT FWD Insurance Indonesia (Metro)</t>
  </si>
  <si>
    <t>2-2253387394</t>
  </si>
  <si>
    <t>15/9/2024</t>
  </si>
  <si>
    <t>Ubah harga Link Metro E 2 Mbps Allianz DCI CIbitung ke Infomedia Sri Ratu Semarang</t>
  </si>
  <si>
    <t>00297/IN/INF2430233/2024</t>
  </si>
  <si>
    <t>18/9/2024</t>
  </si>
  <si>
    <t>Aktivasi Masking Outbond 1500630 Layanan Kemenaker</t>
  </si>
  <si>
    <t>P2431 70-02-00</t>
  </si>
  <si>
    <t>00330/IN/INF2430233/2024</t>
  </si>
  <si>
    <t>19/9/2024</t>
  </si>
  <si>
    <t>PSB Astinet 2 Mbps Layanan Call Center PSC 119 Kabupaten Subang</t>
  </si>
  <si>
    <t>00334/M/INF2430233/2024</t>
  </si>
  <si>
    <t>2-2279724092</t>
  </si>
  <si>
    <t>36.88.44.17/29</t>
  </si>
  <si>
    <t>26/9/2024</t>
  </si>
  <si>
    <t>Aktivasi dan Masking Outbound Nomor Akses 1500518 PT BRI Life</t>
  </si>
  <si>
    <t>00341/IN/INF2430233/2024</t>
  </si>
  <si>
    <t>2-2265325668</t>
  </si>
  <si>
    <t>Upgrade Link Metro E 5 Mbps menjadi 10 Mbps PT. Asuransi BRI Life Jakarta</t>
  </si>
  <si>
    <t>00342/IN/INF2430233/2024</t>
  </si>
  <si>
    <t>Permohonan Aktivasi Nomor Akses 145 Otorita Ibu Kota Nusantara</t>
  </si>
  <si>
    <t>00348/IN/INF2430233/2024</t>
  </si>
  <si>
    <t>Masking Outbound Nomor Akses 1500332 PT MRT Jakarta</t>
  </si>
  <si>
    <t>00360/IN/INF2430233/2024</t>
  </si>
  <si>
    <t>2-2274309253</t>
  </si>
  <si>
    <t>Permohonan Masking Outbound Nomor Akses 1500918 PT Kartika Bina Medika</t>
  </si>
  <si>
    <t>00368/IN/INF2430233/2024</t>
  </si>
  <si>
    <t>16/10/2024</t>
  </si>
  <si>
    <t>Permohonan Aktivasi Nomor Akses150280 PT Suiten Inovasi Sukses</t>
  </si>
  <si>
    <t>2-2280671657</t>
  </si>
  <si>
    <t>Open</t>
  </si>
  <si>
    <t>Permohonan Aktivasi Masking Nomor 150280 PT Suiten Inovasi Sukses</t>
  </si>
  <si>
    <t>00372/M/INF2430233/2024</t>
  </si>
  <si>
    <t>24/10/2024</t>
  </si>
  <si>
    <t>Aktivasi Nomor Akses &amp; Masking Outbond 1500122 RSUP Ngoerah (Masking)</t>
  </si>
  <si>
    <t>00388/IN/INF2430233/2024</t>
  </si>
  <si>
    <t>2-2292550667</t>
  </si>
  <si>
    <t>30/10/2024</t>
  </si>
  <si>
    <t>Permohonan Dismantle Nomor Akses, Masking Outbound dan Link Metro E 1500886 PT Investree Radhika Jaya Tanggal 31 Oktober 2024</t>
  </si>
  <si>
    <t>Dismantle</t>
  </si>
  <si>
    <t>2-2292573785</t>
  </si>
  <si>
    <t>31/10/2024</t>
  </si>
  <si>
    <t>Permohonan Aktivasi Astinet 2 Mbps Layanan Aladin</t>
  </si>
  <si>
    <t>2-2296411808</t>
  </si>
  <si>
    <t>Aktivasi Nomor Akses 150227 dan PSB Link Astinet 3 Mbps PT Adhi Karya (Nomor Akses)</t>
  </si>
  <si>
    <t>00406/IN/INF2430233/2024</t>
  </si>
  <si>
    <t>2-2457398905</t>
  </si>
  <si>
    <t>Aktivasi Nomor Akses 191 PT ASDP Indonesia Ferry (Persero)</t>
  </si>
  <si>
    <t>Surat PT ASDP Nomor UM.003/05591/XI/ASDP-2024</t>
  </si>
  <si>
    <t>00411/IN/INF2430233/2024</t>
  </si>
  <si>
    <t>2-2301802223</t>
  </si>
  <si>
    <t>21/11/2024</t>
  </si>
  <si>
    <t>Aktivasi Astinet 5 Mbps dan Aktivasi 1500838 Layanan PT KITB</t>
  </si>
  <si>
    <t>00427/IN/INF2430233/2024</t>
  </si>
  <si>
    <t>2-2309753866</t>
  </si>
  <si>
    <t>Masking Outbound Nomor Akses 191 PT ASDP Indonesia Ferry (Persero)</t>
  </si>
  <si>
    <t>00438/IN/INF2430233/2024</t>
  </si>
  <si>
    <t>2-2318345833</t>
  </si>
  <si>
    <t>Aktivasi Nomor Akses 1500215 dan PSB Link Metro E Interaktif 1 Mbps PT Pembangunan Deltamas</t>
  </si>
  <si>
    <t>00445/IN/INF2430233/2024</t>
  </si>
  <si>
    <t>2-2322264419</t>
  </si>
  <si>
    <t>2.500,000</t>
  </si>
  <si>
    <t>16/12/2024</t>
  </si>
  <si>
    <t>Masking Outbound Nomor Akses 1500456 PT Zurich Asuransi Indonesia</t>
  </si>
  <si>
    <t>00449/IN/INF2430233/2024</t>
  </si>
  <si>
    <t>2-2322764671</t>
  </si>
  <si>
    <t>18/12/2024</t>
  </si>
  <si>
    <t>P243498-02-0 0</t>
  </si>
  <si>
    <t>00464/M/INF2430233/2024</t>
  </si>
  <si>
    <t>19/12/2024</t>
  </si>
  <si>
    <t>permohonan aktivasi dari sekjend DENAS kEK</t>
  </si>
  <si>
    <t xml:space="preserve">
00466/M/INF2430233/2024</t>
  </si>
  <si>
    <t>2-2304259268</t>
  </si>
  <si>
    <t>Dismentle link Erajaya</t>
  </si>
  <si>
    <t>Occupancy di NMS yang sudah menurun</t>
  </si>
  <si>
    <t>00219/IN/INF2430233/24</t>
  </si>
  <si>
    <t>astinet:970224544
metro: 923130166</t>
  </si>
  <si>
    <t>Dismentle dan Downgrade link Erajaya</t>
  </si>
  <si>
    <t>Dismantle Nomor Akses 1500927 PT. Waskita Beton Precast Tbk</t>
  </si>
  <si>
    <t>00002/M/INF23342/24</t>
  </si>
  <si>
    <t>00001/IN/INF2340122/24</t>
  </si>
  <si>
    <t> 2-2122343067</t>
  </si>
  <si>
    <t>SID: 888336639071</t>
  </si>
  <si>
    <t>No: 40/YN 000/DR2–11220000/2024</t>
  </si>
  <si>
    <t>Dismantle Nomor Akses Nomor Akses 1500813 PT Murni Medika Solusindo</t>
  </si>
  <si>
    <t>00052/M/INF23242/23</t>
  </si>
  <si>
    <t>00012/IN/INF2340122/24</t>
  </si>
  <si>
    <t>2-2126446429</t>
  </si>
  <si>
    <t>SID: 888288708102</t>
  </si>
  <si>
    <t>No: 183/YN 000/DR2–11220000/2024</t>
  </si>
  <si>
    <t xml:space="preserve">Dismantle Nomor Akses 1500316 PT Teluk Lamong </t>
  </si>
  <si>
    <t>00005/M/INF23353/24</t>
  </si>
  <si>
    <t>00035/IN/INF2340122/24</t>
  </si>
  <si>
    <t>1500316 : 2-2135801669</t>
  </si>
  <si>
    <t>1500316 SID: 888175930006</t>
  </si>
  <si>
    <t>No: 539/YN 000/DR2–11220000/2024</t>
  </si>
  <si>
    <t>Dismantle nomor AKSES 1500273 Dinas PM PTSP Kab Badung Denpasar</t>
  </si>
  <si>
    <t>1500273 : 2-2136055209</t>
  </si>
  <si>
    <t xml:space="preserve">
1500273 SID: 3700038-0031905449</t>
  </si>
  <si>
    <t>No: 652/YN 000/DR2–11220000/2024</t>
  </si>
  <si>
    <t>Dismentle Astinet Waskita</t>
  </si>
  <si>
    <t>Layanan Waskita yang telah Churn</t>
  </si>
  <si>
    <t>00065/IN/INF2340122/24</t>
  </si>
  <si>
    <t>2-2140810324</t>
  </si>
  <si>
    <t>SID 1714389102</t>
  </si>
  <si>
    <t>No: 798/YN 000/DR2–11220000/2024</t>
  </si>
  <si>
    <t>Dismantle Internet Indihome 20 Mbps Layanan Waspang Unjani</t>
  </si>
  <si>
    <t>Email dari Operasional</t>
  </si>
  <si>
    <t>00069/IN/INF2340122/24</t>
  </si>
  <si>
    <t>SID: 131159163579</t>
  </si>
  <si>
    <t>Dismantle Internet Indihome 100 Mbps Layanan GRaPARI GTG BSD</t>
  </si>
  <si>
    <t>00002/IN/INF2430233/24</t>
  </si>
  <si>
    <t>SID: 122432304992</t>
  </si>
  <si>
    <t xml:space="preserve">Dismentle Astinet Layanan Dana Jakarta </t>
  </si>
  <si>
    <t>Layanan Dana yang sudah churn</t>
  </si>
  <si>
    <t>00003/IN/INF2430233/24</t>
  </si>
  <si>
    <t xml:space="preserve">Semarang : 2-2148432338
</t>
  </si>
  <si>
    <t>Dismentle Astinet Layanan Dana Semarang</t>
  </si>
  <si>
    <t xml:space="preserve">
Jakarta : 2-2148543859</t>
  </si>
  <si>
    <t>Dismentle Indihome Layanan DANA di Site Infomedia</t>
  </si>
  <si>
    <t>00005/IN/INF2430233/24</t>
  </si>
  <si>
    <t>Indihome Dana Smg 142410332983
Indihome Dana Tendean 121202266187
Indihome Dana BSD 121431219464</t>
  </si>
  <si>
    <t>Dismantle Nomor Akses 126</t>
  </si>
  <si>
    <t>00009/M/INF24382/24
00010/M/INF24382/24</t>
  </si>
  <si>
    <t>00029/IN/INF2430233/24</t>
  </si>
  <si>
    <t xml:space="preserve">126 SID = 888154753503
</t>
  </si>
  <si>
    <t>Sudah di Proses Dismentle</t>
  </si>
  <si>
    <t>No: 1416/YN 000/DR2–11220000/2024</t>
  </si>
  <si>
    <t xml:space="preserve">Dismantle Nomor Akses 1500117 </t>
  </si>
  <si>
    <t xml:space="preserve">1500117  SID = 888200424788
</t>
  </si>
  <si>
    <t>tidak di proses oleh DWS</t>
  </si>
  <si>
    <t>Dismantle Nomor Akses  1500221</t>
  </si>
  <si>
    <t>1500221 SID = 888359740642</t>
  </si>
  <si>
    <t>Permohonan Dismantle Nomor Akses 1500174 PT Global Urban Esensial dan 1500462 Global Urban Estential</t>
  </si>
  <si>
    <t>00001/M/INF24382/24</t>
  </si>
  <si>
    <t>00038/IN/INF2430233/24</t>
  </si>
  <si>
    <t xml:space="preserve">2-2183673289 - 1500174
2-2183673844 - 1500462
</t>
  </si>
  <si>
    <t>1500174 SID: 3700038-0031882147
1500462 SID: 3700038-0029637113</t>
  </si>
  <si>
    <t>Dismantle Nomor Akses 1500114 CC Kafe &amp; Resto Pampalass</t>
  </si>
  <si>
    <t>00014/M/INF24382/24</t>
  </si>
  <si>
    <t>00058/IN/INF2430233/24</t>
  </si>
  <si>
    <t>2-2161074774</t>
  </si>
  <si>
    <t>SID: 3700038-0026410602</t>
  </si>
  <si>
    <t>Dismantle Infrastruktur Infomedia Hasil Rekon Bersama Telkom DWS</t>
  </si>
  <si>
    <t>rekon Jarkom</t>
  </si>
  <si>
    <t>00072/IN/INF2430233/24</t>
  </si>
  <si>
    <t>2-2169614631</t>
  </si>
  <si>
    <t>Permohonan Dismantle Infrastruktur Infomedia Sri Ratu Semarang =&gt; Permintaan ke DWS tgl 19 Mar 2024</t>
  </si>
  <si>
    <t>No: 1839/YN 000/DR2–11220000/2024</t>
  </si>
  <si>
    <t>2-2169615572</t>
  </si>
  <si>
    <t>2-2169699114</t>
  </si>
  <si>
    <t>Dismantle Nomor Akses 1500450 PT. Asuransi Adira Dinamika</t>
  </si>
  <si>
    <t>00025/M/1NF24382/24</t>
  </si>
  <si>
    <t>00101/IN/INF2430233/24</t>
  </si>
  <si>
    <t>AO: 2-345131123 SID: 3700038-0029465987</t>
  </si>
  <si>
    <t>No: 1840/YN 000/DR2–11220000/2024</t>
  </si>
  <si>
    <t>2-2173619059</t>
  </si>
  <si>
    <t>SID: 3700038-0029465987</t>
  </si>
  <si>
    <t>Dismantle Sip Trunk Layanan Rumah Zakat</t>
  </si>
  <si>
    <t>0032/M/INF24344/24</t>
  </si>
  <si>
    <t>00103/IN/INF2430233/24</t>
  </si>
  <si>
    <t>IPPBX</t>
  </si>
  <si>
    <t>2-2175281894</t>
  </si>
  <si>
    <t>ao = 2-650220149 SID- 888235260987,</t>
  </si>
  <si>
    <t>Nomor: Tel. 293/YN.000/DR3-11220000/2024</t>
  </si>
  <si>
    <t>Dismantle Nomor Akses 1500220 PT RICHEESE KULINER INDONESIA</t>
  </si>
  <si>
    <t>00026/WINF24382/24</t>
  </si>
  <si>
    <t>00122/IN/INF2430233/24</t>
  </si>
  <si>
    <t>2-2181109760</t>
  </si>
  <si>
    <t>AO: 2-317932665 SID: 3700038-0025181924</t>
  </si>
  <si>
    <t>No: 2041/YN 000/DR2–11220000/2024</t>
  </si>
  <si>
    <t>Dismantle Nomor Akses 1500XYZ Bulai Mei 2024</t>
  </si>
  <si>
    <t>00027/M/1NF24382/24</t>
  </si>
  <si>
    <t>00121/IN/INF2430233/24</t>
  </si>
  <si>
    <t>1500058 : 2-2181159301
1500074 : 2-2181159658
1500262 : 2-2181170195
1500612 : 2-2181170737</t>
  </si>
  <si>
    <t>1500058 SID: 3700038-0029732413
1500074 SID: 3700038-0029694053
1500262 SID: 3700038-0029732416
1500612 SID: 3700038-0032211374</t>
  </si>
  <si>
    <t>1500262 : 2-2181170195 1500612 : 2-2181170737</t>
  </si>
  <si>
    <t>Dismantle Nomor Akses 0804-1001000 Rumah Zakat</t>
  </si>
  <si>
    <t>00123/IN/INF2430233/24</t>
  </si>
  <si>
    <t>SID: 3700038-0031604403</t>
  </si>
  <si>
    <t>Dismantle VPN IP Domestik RBB</t>
  </si>
  <si>
    <t>sudah tidak digunakan</t>
  </si>
  <si>
    <t>00124/IN/INF2430233/24</t>
  </si>
  <si>
    <t>AO: 2-2164404374 SID 1965736158</t>
  </si>
  <si>
    <t>Dismantle Infrastruktur Layanan CC Bakti Site Infomedia Tendean</t>
  </si>
  <si>
    <t>CC Bakti yang sudah Churn</t>
  </si>
  <si>
    <t xml:space="preserve">00125/IN/INF2430233/24 </t>
  </si>
  <si>
    <t>CC Bhakti 2-2183638787
Tendean 2-2183640325</t>
  </si>
  <si>
    <t>Metro e SID: 1737641703
Astinet SID: 1737877128</t>
  </si>
  <si>
    <t>No: 2708/YN 000/DR2–11220000/2024</t>
  </si>
  <si>
    <t>Dismantle Metro E Pam Jaya- Valdo CIkini</t>
  </si>
  <si>
    <t>Churn</t>
  </si>
  <si>
    <t>00142/IN/INF2430233/24</t>
  </si>
  <si>
    <t>SID 1 : 1780593406 SID 2 : 1780953390 AO: 2-2057398705</t>
  </si>
  <si>
    <t>Dismantle Masking Outbound Nomor Akses 1500630 Pusat Pasar Kerja
Kemnaker RI</t>
  </si>
  <si>
    <t>00028/M/INF24382/24</t>
  </si>
  <si>
    <t>00145/IN/INF2430233/24</t>
  </si>
  <si>
    <t>2-2186081760</t>
  </si>
  <si>
    <t>No: 2146/YN 000/DR2–11220000/2024</t>
  </si>
  <si>
    <t>Dismantle Nomor Akses 1500212 Taman Safari Indonesia</t>
  </si>
  <si>
    <t>00030/M/INF24382/24</t>
  </si>
  <si>
    <t>00148/IN/INF2430233/24</t>
  </si>
  <si>
    <t>2-2185698405</t>
  </si>
  <si>
    <t>AO: 2-907802427 SID: 3700038-0005242251</t>
  </si>
  <si>
    <t>No: 2123/YN 000/DR2–11220000/2024</t>
  </si>
  <si>
    <t>Dismantle Infrastruktur Site Infomedia Tendean (Telkom DWS)</t>
  </si>
  <si>
    <t>sudah Churn,</t>
  </si>
  <si>
    <t>00163/IN/INF2430233/24</t>
  </si>
  <si>
    <t>AO: 2-2048641433 SID : 1780203138</t>
  </si>
  <si>
    <t>dismentle rack server DC Infomedia Kebalen</t>
  </si>
  <si>
    <t>Rekon Jarkom Infomedi</t>
  </si>
  <si>
    <t>00162/IN/INF2430233/24</t>
  </si>
  <si>
    <t>Colocation</t>
  </si>
  <si>
    <t> Dismantle Infrastruktur Site Infomedia Tendean (Telkom DES)</t>
  </si>
  <si>
    <t>Reengineering Network</t>
  </si>
  <si>
    <t>00164/IN/INF2430233/24</t>
  </si>
  <si>
    <t>ASTINET : 1-40499836450
INDIHOME : SC1001194900</t>
  </si>
  <si>
    <t>indihome Jamkrindo SID :  121202214557
astinet Damri 	SID :  1384980560</t>
  </si>
  <si>
    <t>Dismantle Nomor Akses 1500412 Perumda Tirta Kahuripan Kab. Bogor</t>
  </si>
  <si>
    <t>00031/M/INF24382/24</t>
  </si>
  <si>
    <t>00170/IN/INF2430233/24</t>
  </si>
  <si>
    <t>888288708083</t>
  </si>
  <si>
    <t>Permohonan Novasi Perubahan Nomor Billing , Translasi dan Channel Berlangganan 1500667 Bank NTB</t>
  </si>
  <si>
    <t>Modified</t>
  </si>
  <si>
    <t>2-2192851867</t>
  </si>
  <si>
    <t>3700038-0029511856</t>
  </si>
  <si>
    <t>Dismantle Infrastruktur Site Infomedia Tendean Lanjutan (Telkom DES)</t>
  </si>
  <si>
    <t>Layanan di Infomedia yang sudah Churn</t>
  </si>
  <si>
    <t>0186/IN/INF2430233/24</t>
  </si>
  <si>
    <t>Layanan SDA SID : 1771241189
Layanan ACER SID : 121202231677</t>
  </si>
  <si>
    <t>Dismantle Infrastruktur Site Infomedia Tendean Lanjutan (Telkom DWS)</t>
  </si>
  <si>
    <t>Layanan di Infomedia yang sudah Churn,</t>
  </si>
  <si>
    <t>00185/IN/INF2430233/24</t>
  </si>
  <si>
    <t>Layanan Bukopin SID : 1780203138
Layanan CC DPR SID : 1713560345</t>
  </si>
  <si>
    <t>Dismantle Infrastruktur Infomedia Bulan Juni 2024</t>
  </si>
  <si>
    <t>00194/IN/INF2430233/24</t>
  </si>
  <si>
    <t>Mandiri Tunas Finance SID: 923871373
Layanan Jalin SID 835094179</t>
  </si>
  <si>
    <t>Dismentle dan Downgrade Link Infomedia</t>
  </si>
  <si>
    <t>Layanan yang sudah Churn</t>
  </si>
  <si>
    <t>00190/IN/INF2430233/24</t>
  </si>
  <si>
    <t>dismentle rack server DC Infomedia Jatinegara</t>
  </si>
  <si>
    <t>00217/IN/INF2430233/24</t>
  </si>
  <si>
    <t>2-2208282851
2-2208304377
2-2208304867</t>
  </si>
  <si>
    <t>Dismantle Nomor Akses 1500498 PT KANMO GAYAABADI</t>
  </si>
  <si>
    <t>00224/IN/INF2430233/24</t>
  </si>
  <si>
    <t>2-2208177295</t>
  </si>
  <si>
    <t>SID: 774-0031879544</t>
  </si>
  <si>
    <t>Dismantle Nomor Akses 1500036 dan Astinet 1 Mbps PT CANNING INDONESIA</t>
  </si>
  <si>
    <t>00035/WINF24382/24</t>
  </si>
  <si>
    <t>00226/IN/INF2430233/24</t>
  </si>
  <si>
    <t xml:space="preserve">Nomor Akses : 2-2210296774
Astinet : 2-2210307350
</t>
  </si>
  <si>
    <t>1500036 SID: 888338231938
Astinet SID: 1717459917</t>
  </si>
  <si>
    <t xml:space="preserve">Dismantle Astinet 2 Mbps Layanan Tellin Australia Site Infomedia Tendean
		</t>
  </si>
  <si>
    <t>Telin Australia sudah churn</t>
  </si>
  <si>
    <t>00227/IN/INF2430233/24</t>
  </si>
  <si>
    <t>Revisi Permohonan PSB Astinet 50 Mbps menjadi 20 MBPS dan VPN IP 20 Mbps menjadi 5 Mbps Site Infomedia Majapahit Semarang (Astinet)</t>
  </si>
  <si>
    <t>2-2220729045</t>
  </si>
  <si>
    <t>Revisi Permohonan PSB Astinet 50 Mbps menjadi 20 MBPS dan VPN IP 20 Mbps menjadi 5 Mbps Site Infomedia Majapahit Semarang (VPNIP)</t>
  </si>
  <si>
    <t>2-2220733818</t>
  </si>
  <si>
    <t>Dismentle link BKPM Gatsu &amp; BNPB (BKPM)</t>
  </si>
  <si>
    <t>sudah churn</t>
  </si>
  <si>
    <t>00248/IN/INF2430233/24</t>
  </si>
  <si>
    <t>2-2221606825</t>
  </si>
  <si>
    <t>Dismentle link BKPM Gatsu &amp; BNPB (BNPB)</t>
  </si>
  <si>
    <t>2-2221638035</t>
  </si>
  <si>
    <t>Permohonan Penambahan Nomor Masking Outbound Nomor Akses 1500017 BRI (02129244088)</t>
  </si>
  <si>
    <t>2-2228310840</t>
  </si>
  <si>
    <t>Permohonan Penambahan Nomor Masking Outbound Nomor Akses 1500017 BRI (02129244072)</t>
  </si>
  <si>
    <t>2-2228068744</t>
  </si>
  <si>
    <t>Permohonan Penambahan Nomor Masking Outbound Nomor Akses 1500017 BRI (02129244075)</t>
  </si>
  <si>
    <t>2-2228078057</t>
  </si>
  <si>
    <t>Permohonan Penambahan Nomor Masking Outbound Nomor Akses 1500017 BRI (02129244080)</t>
  </si>
  <si>
    <t>2-2228258970</t>
  </si>
  <si>
    <t>Permohonan Penambahan Nomor Masking Outbound Nomor Akses 1500017 BRI (02129244099)</t>
  </si>
  <si>
    <t>2-2228265502</t>
  </si>
  <si>
    <t>Permohonan Penambahan Nomor Masking Outbound Nomor Akses 1500017 BRI (02129244090)</t>
  </si>
  <si>
    <t>2-2228292534</t>
  </si>
  <si>
    <t>Permohonan Penambahan Nomor Masking Outbound Nomor Akses 1500017 BRI (02129244091)</t>
  </si>
  <si>
    <t>2-2228287746</t>
  </si>
  <si>
    <t>Permohonan Penambahan Nomor Masking Outbound Nomor Akses 1500017 BRI (02129244086)</t>
  </si>
  <si>
    <t>2-2228306324</t>
  </si>
  <si>
    <t>Permohonan Penambahan Nomor Masking Outbound Nomor Akses 1500017 BRI (02129244006)</t>
  </si>
  <si>
    <t>2-2226440377</t>
  </si>
  <si>
    <t>Permohonan Penambahan Nomor Masking Outbound Nomor Akses 1500017 BRI (02129244012)</t>
  </si>
  <si>
    <t>2-2226521987</t>
  </si>
  <si>
    <t>Permohonan Penambahan Nomor Masking Outbound Nomor Akses 1500017 BRI (02129244019)</t>
  </si>
  <si>
    <t>2-2226588574</t>
  </si>
  <si>
    <t>Permohonan Penambahan Nomor Masking Outbound Nomor Akses 1500017 BRI (02129244049)</t>
  </si>
  <si>
    <t>2-2226926949</t>
  </si>
  <si>
    <t>24/07/2024</t>
  </si>
  <si>
    <t>Dismantle Link Indihome CIMB Niaga Gajah Mada Jakarta</t>
  </si>
  <si>
    <t>00074/M/1NF24346/24</t>
  </si>
  <si>
    <t>00253/IN/INF2430233/24</t>
  </si>
  <si>
    <t>25/07/2024</t>
  </si>
  <si>
    <t>Dismantle Nomor Akses 1500390 PT FWD Insurance Indonesia</t>
  </si>
  <si>
    <t>00255/IN/INF2430233/24</t>
  </si>
  <si>
    <t>3700038-0028598423</t>
  </si>
  <si>
    <t>Dismantle Astinet 100 Mbps Layanan Customer Engagement &amp; Loyality
Program Site Infomedia TBB Bandung</t>
  </si>
  <si>
    <t>Email dari Rekan IT Infomedia TBB</t>
  </si>
  <si>
    <t>00257/IN/INF2430233/24</t>
  </si>
  <si>
    <t>29/07/2024</t>
  </si>
  <si>
    <t>Permohonan Downgrade dan Dismantle Infrastruktur Infomedia (VPN IP 1924552547)</t>
  </si>
  <si>
    <t>14/01/2025</t>
  </si>
  <si>
    <t>Permohonan Downgrade dan Dismantle Infrastruktur Infomedia</t>
  </si>
  <si>
    <t>22/08/2024</t>
  </si>
  <si>
    <t>3700038-0031487799</t>
  </si>
  <si>
    <t>3700038-0031487739</t>
  </si>
  <si>
    <t xml:space="preserve">3700038-0014200275 </t>
  </si>
  <si>
    <t>2-2249047842</t>
  </si>
  <si>
    <t>2-2249071534</t>
  </si>
  <si>
    <t>2-2249436002</t>
  </si>
  <si>
    <t>18/09/2024</t>
  </si>
  <si>
    <t>2-2249712751</t>
  </si>
  <si>
    <t>2-2250420745</t>
  </si>
  <si>
    <t>24/09/2024</t>
  </si>
  <si>
    <t>2-2249700193</t>
  </si>
  <si>
    <t>2-2249343995</t>
  </si>
  <si>
    <t xml:space="preserve">2-2228427058 </t>
  </si>
  <si>
    <t>2-2228447258</t>
  </si>
  <si>
    <t>2-2228436448</t>
  </si>
  <si>
    <t>2-2249268489</t>
  </si>
  <si>
    <t>2-2249058564</t>
  </si>
  <si>
    <t>2-2249025057</t>
  </si>
  <si>
    <t>3700038-0021774425</t>
  </si>
  <si>
    <t>2-2249048263</t>
  </si>
  <si>
    <t>2-2250416075</t>
  </si>
  <si>
    <t>Dismantle Nomor Akses 1500291 PT LINK NET</t>
  </si>
  <si>
    <t>00042/M/INF24382/24</t>
  </si>
  <si>
    <t>00271/IN/INF2430233/24</t>
  </si>
  <si>
    <t>2-2231229706</t>
  </si>
  <si>
    <t>3700038-0032210130</t>
  </si>
  <si>
    <t>Dismantle Nomor Akses 1500047 Yayasan Inisiatif Zakat Indonesia</t>
  </si>
  <si>
    <t>00043/M/INF24382/24</t>
  </si>
  <si>
    <t>00272/IN/INF2430233/24</t>
  </si>
  <si>
    <t>2-2231442535</t>
  </si>
  <si>
    <t>3700038-0031604403</t>
  </si>
  <si>
    <t>Dismantle Nomor Akses 1500633 PT. Prambanan Kencana</t>
  </si>
  <si>
    <t>00046/M/INF24382/24</t>
  </si>
  <si>
    <t>00280/IN/INF2430233/24</t>
  </si>
  <si>
    <t>2-2235296840</t>
  </si>
  <si>
    <t>Dismantle Nomor Akses Dismentle No Akses 1500004 KPU Bea dan Cukai Tipe A Tanjung Priok &amp; 1500745 Tax Amnesty (1500004 )</t>
  </si>
  <si>
    <t>00047/M/INF24382/24</t>
  </si>
  <si>
    <t>2-2235297390</t>
  </si>
  <si>
    <t>3700038-0029378172</t>
  </si>
  <si>
    <t>Cancel Order Metro e 1 Mbps dan Dismantle Backhole Metro E Layanan Contact
Center Listriqu Haleyora</t>
  </si>
  <si>
    <t>00249/IN/INF2430233/24</t>
  </si>
  <si>
    <t>00284/IN/INF2430233/24</t>
  </si>
  <si>
    <t>1-14332599199</t>
  </si>
  <si>
    <t>Dismantle Link Metro E 6 Mbps Asuransi Astra Buana to DC Jatinegara</t>
  </si>
  <si>
    <t>00009/M/1NF24231/2024</t>
  </si>
  <si>
    <t>00305/IN/INF2430233/2024</t>
  </si>
  <si>
    <t>Dismantle Nomor Akses 1500268 Laku Pandai PT Bank Central Asia Tbk</t>
  </si>
  <si>
    <t>00012/M/INF24231/2024</t>
  </si>
  <si>
    <t>00318/IN/INF2430233/2024</t>
  </si>
  <si>
    <t>3700038-0028559018</t>
  </si>
  <si>
    <t>Dismantle Nomor Akses 1500039 PT Metra TV</t>
  </si>
  <si>
    <t>00065/M/INF24221/2024</t>
  </si>
  <si>
    <t>00327/IN/INF2430233/2024</t>
  </si>
  <si>
    <t>Dismantle Nomor Akses 1500351 PT Bank DKI</t>
  </si>
  <si>
    <t>00007/M/INF24251/2024</t>
  </si>
  <si>
    <t>00326/IN/INF2430233/2024</t>
  </si>
  <si>
    <t>3700038-0029465909</t>
  </si>
  <si>
    <t>13/9/2024</t>
  </si>
  <si>
    <t>Dismantle Nomor Akses 150108 PT FAMON AWAL BROS SEDAYA</t>
  </si>
  <si>
    <t>00051/M/INF24382/2024</t>
  </si>
  <si>
    <t>00329/IN/INF2430233/2024</t>
  </si>
  <si>
    <t>23/9/2024</t>
  </si>
  <si>
    <t>dismentle sip trunk Layanan Rumah Zakat Bandung</t>
  </si>
  <si>
    <t>00337/IN/INF2430233/24</t>
  </si>
  <si>
    <t>Permohonan Dismantle Astinet Layanan OLIN Project IndiHome Notification Management</t>
  </si>
  <si>
    <t>15/10/2024</t>
  </si>
  <si>
    <t>Permohonan Dismantle 50 Nomor Masking Outbound 1500017 PT Bank Rakyat Indonesia</t>
  </si>
  <si>
    <t>00373/IN/INF2430233/2024</t>
  </si>
  <si>
    <t>17/10/2024</t>
  </si>
  <si>
    <t>Permohonan Dismentle Link Astinet &amp; Metro Aladin 5 Mbps</t>
  </si>
  <si>
    <t>Graha Intan : 2-2292600512</t>
  </si>
  <si>
    <t>Permohonan Dismentle Link Astinet &amp; Metro Trakindo 1 Mbps</t>
  </si>
  <si>
    <t>Cyber : 2-2292602966</t>
  </si>
  <si>
    <t>Permohonan Dismentle Link Astinet &amp; Metro PTSP Badung 10 Mbps</t>
  </si>
  <si>
    <t>Bandung : 2-2292607867</t>
  </si>
  <si>
    <t>29/10/2024</t>
  </si>
  <si>
    <t>Permohonan Upgrade Link Metro E Interaktif 4 Mbps To 8 Mbps Layanan Asus DC Transcosmos ke DC Infomedia Jatinegara</t>
  </si>
  <si>
    <t>2-2293387884</t>
  </si>
  <si>
    <t>Dismantle Infrastruktur Layanan Anugerah Pharmindo Lestari</t>
  </si>
  <si>
    <t>00057/M/INF24382/2024</t>
  </si>
  <si>
    <t>00404/M/INF2430233/2024</t>
  </si>
  <si>
    <t>Icon +</t>
  </si>
  <si>
    <t>00403/IN/INF2430233/2024</t>
  </si>
  <si>
    <t>Dismantle Nomor Akses 1500831 dan 1500832 TELKOMSAT</t>
  </si>
  <si>
    <t>00060/M/INF24382/2024</t>
  </si>
  <si>
    <t>00405/IN/INF2430233/2024</t>
  </si>
  <si>
    <t>1500831 : 2-2329425511
1500832 : 2-2329431960</t>
  </si>
  <si>
    <t>18/11/2024</t>
  </si>
  <si>
    <t>Permohonan Dismantle Infrastruktur Layanan Call Center ICBC Gajahmada</t>
  </si>
  <si>
    <t>00420/IN/INF2430233/2024</t>
  </si>
  <si>
    <t>20/11/2024</t>
  </si>
  <si>
    <t> Dismantle Nomor Akses 1500052 CV DL Clinic</t>
  </si>
  <si>
    <t>00065/M/INF24382/2024</t>
  </si>
  <si>
    <t xml:space="preserve">
00421/IN/INF2430233/2024</t>
  </si>
  <si>
    <t> 2-2318372033</t>
  </si>
  <si>
    <t>3700038-0031184156</t>
  </si>
  <si>
    <t>Dismantle Nomor Akses 1500335 PT UOB Indonesia</t>
  </si>
  <si>
    <t>00066/M/INF24382/2024</t>
  </si>
  <si>
    <t>00422/IN/INF2430233/2024</t>
  </si>
  <si>
    <t> 2-2318365988</t>
  </si>
  <si>
    <t>Dismantle Infrastruktur Infomedia Bulan desember 2024</t>
  </si>
  <si>
    <t>layanan sudah Churn</t>
  </si>
  <si>
    <t>00450/IN/INF2430233/2024</t>
  </si>
  <si>
    <t>Permohonan Dismantle Nomor Akses dan masking outbound 150224 Layanan Telesales Pemilu AI</t>
  </si>
  <si>
    <t>00059/M/INF2425/2024</t>
  </si>
  <si>
    <t>00069/M/INF24382/2024</t>
  </si>
  <si>
    <t>150224 : 2-2329450159 &amp; 2-2329468288</t>
  </si>
  <si>
    <t>downgrade astinet 1,3 Gbps layanan BUMN per tgl 26 Maret 2024</t>
  </si>
  <si>
    <t>penuruan traffic</t>
  </si>
  <si>
    <t>00085/IN/INF2430233/24</t>
  </si>
  <si>
    <t>Downgrade</t>
  </si>
  <si>
    <t>2-2169560155</t>
  </si>
  <si>
    <t>ao = 2-1829230202 sid = 1725111684 vlan 3067</t>
  </si>
  <si>
    <t>Downgrade Infrastruktur Infomedia</t>
  </si>
  <si>
    <t>Penyesuaian Pemakaian</t>
  </si>
  <si>
    <t>00100/IN/INF2430233/24</t>
  </si>
  <si>
    <t>tidak ada nomor order</t>
  </si>
  <si>
    <t>downgrade astinet 300 Mbps layanan BUMN per tgl 9 Juni 2024</t>
  </si>
  <si>
    <t>Permintaan dari user</t>
  </si>
  <si>
    <t>00181/IN/INF2430233/24</t>
  </si>
  <si>
    <t>2-2199572377</t>
  </si>
  <si>
    <t>sid = 1725111684</t>
  </si>
  <si>
    <t>downgrade link metro p2p 20 Mbps DC neucentrix Karet - DC neucentrix
Meruya</t>
  </si>
  <si>
    <t>Email Konfirmasi dari pm Infomedia</t>
  </si>
  <si>
    <t>00193/IN/INF2430233/24</t>
  </si>
  <si>
    <t>2-2230205687</t>
  </si>
  <si>
    <t xml:space="preserve"> Downgrade Link Infomedia</t>
  </si>
  <si>
    <t>downgrade astinet 300 Mbps layanan BUMN per tgl 17 Juni 2024</t>
  </si>
  <si>
    <t>00201/IN/INF2430233/24</t>
  </si>
  <si>
    <t>Downgrade Link Metro Infomedia (Tapera)</t>
  </si>
  <si>
    <t xml:space="preserve">  Occupancy yang sudah tidak sebesar sebelumnya</t>
  </si>
  <si>
    <t>2-2206767974</t>
  </si>
  <si>
    <t>Downgrade Link Metro InfomTrakindo)</t>
  </si>
  <si>
    <t>2-2206781377</t>
  </si>
  <si>
    <t>Downgrade Metro Layanan Tapera</t>
  </si>
  <si>
    <t>00220/IN/INF2430233/24</t>
  </si>
  <si>
    <t>SID 1701582955</t>
  </si>
  <si>
    <t>Downgrade link Erajaya</t>
  </si>
  <si>
    <t>Downgrade Astinet BUMN RBB DC Meruya</t>
  </si>
  <si>
    <t>Permintaan dari User</t>
  </si>
  <si>
    <t>00254/IN/INF2430233/24</t>
  </si>
  <si>
    <t>Permohonan Downgrade Bandwidth Metro-e Layanan CC Bank Aladin Jogja</t>
  </si>
  <si>
    <t>Perubahan Nomor Translasi dan Biliing Nomor Akses 1500526 Bank Kalteng</t>
  </si>
  <si>
    <t>P232207-04-00</t>
  </si>
  <si>
    <t>00003/IN/INF2340122/24</t>
  </si>
  <si>
    <t>2-2122801756</t>
  </si>
  <si>
    <t>SID : 3700038-0029737975</t>
  </si>
  <si>
    <t>No 055/YN 000/DR2–11220000/2024</t>
  </si>
  <si>
    <t>Novasi (Perubahan Nomor Translasi , Nomor Billing dan Channel Berlangganan) Nomor Akses 1500715 PT Modena Indonesia</t>
  </si>
  <si>
    <t>P232098-02-00</t>
  </si>
  <si>
    <t>00028/IN/INF2340122/24</t>
  </si>
  <si>
    <t>2-2131731278</t>
  </si>
  <si>
    <t>SID: 3700038-0028598152</t>
  </si>
  <si>
    <t>No 458/YN 000/DR2–11220000/2024</t>
  </si>
  <si>
    <t>Novasi (Perubahan Nomor Translasi , Nomor Billing dan Channel Berlangganan) Nomor Akses 1500024 Universitas Terbuka</t>
  </si>
  <si>
    <t>00030/IN/INF2340122/24</t>
  </si>
  <si>
    <t>2-2132502400</t>
  </si>
  <si>
    <t>SID: 3700038-0028559368</t>
  </si>
  <si>
    <t>No 443/YN 000/DR2–11220000/2024</t>
  </si>
  <si>
    <t>Novasi Perubahan Nomor Billing dan Channel Berlangganan 1500907 Rs Premier jatinegara</t>
  </si>
  <si>
    <t>00029/IN/INF2340122/24</t>
  </si>
  <si>
    <t>Novasi (Perubahan Nomor Translasi , Nomor Billing dan Channel
Berlangganan) Nomor Akses 1500112 Asuransi Astra Buana</t>
  </si>
  <si>
    <t>P232137-02-00</t>
  </si>
  <si>
    <t>00031/IN/INF2340122/24</t>
  </si>
  <si>
    <t>2-2132606695</t>
  </si>
  <si>
    <t>SID: 888265764435</t>
  </si>
  <si>
    <t>No 438/YN 000/DR2–11220000/2024</t>
  </si>
  <si>
    <t>Novasi (Perubahan Nomor Billing dan Channel Berlangganan) Nomor Akses
1500218 PT KSP Sahabat Mitra Sejati</t>
  </si>
  <si>
    <t>00039/IN/INF2340122/24</t>
  </si>
  <si>
    <t>SID: 3700038-0029304308</t>
  </si>
  <si>
    <t>Novasi (Perubahan Nomor Translasi, Nomor Billing dan Channel Berlangganan) Nomor Akses 1500018 PT. BFI Finance Indonesia</t>
  </si>
  <si>
    <t>P231899-02-00</t>
  </si>
  <si>
    <t>00045/IN/INF2340122/24</t>
  </si>
  <si>
    <t>2-2136079617</t>
  </si>
  <si>
    <t>SID: 3700038-0029377980</t>
  </si>
  <si>
    <t>No: 566/YN 000/DR2–11220000/2024</t>
  </si>
  <si>
    <t>P231857-09-00</t>
  </si>
  <si>
    <t>00053/IN/INF2340122/24</t>
  </si>
  <si>
    <t>2-2140240440</t>
  </si>
  <si>
    <t>AO : 7000176066</t>
  </si>
  <si>
    <t>No: 763/YN 000/DR2–11220000/2024</t>
  </si>
  <si>
    <t>Novasi Perubahan Nomor Translasi, Billing dan Channel Berlangganan 1500158 Universitas Gunadarma</t>
  </si>
  <si>
    <t>00063/IN/INF2340122/24</t>
  </si>
  <si>
    <t>2-2140749244</t>
  </si>
  <si>
    <t>SID 3700038-0029511980</t>
  </si>
  <si>
    <t>No: 765/YN 000/DR2–11220000/2024</t>
  </si>
  <si>
    <t>VPN IP Bank Sumut</t>
  </si>
  <si>
    <t>PSB</t>
  </si>
  <si>
    <t>2-2129970122</t>
  </si>
  <si>
    <t>Novasi (Perubahan Nomor Billing dan Channel Berlangganan) 
Nomor Akses 1500275 PT. Anugerah Pharmindo Lestari</t>
  </si>
  <si>
    <t>SID: 3700038-0029465223</t>
  </si>
  <si>
    <t>CENTENNIAL TOWER 17</t>
  </si>
  <si>
    <t>2-2150937003</t>
  </si>
  <si>
    <t>Novasi (Perubahan Nomor Billing dan Channel Berlangganan) Nomor Akses
1500169 PT Bank Ganesha Tbk</t>
  </si>
  <si>
    <t>00052/IN/INF2430233/24</t>
  </si>
  <si>
    <t>SID: 3700038-0029532657</t>
  </si>
  <si>
    <t>Novasi (Perubahan Nomor Billing dan Channel Berlangganan) 1500377 PT
JCO Donuts and Coffe</t>
  </si>
  <si>
    <t>00054/IN/INF2430233/24</t>
  </si>
  <si>
    <t>Novasi Perubahan Nomor Translasi, Billing dan Channel Berlangganan 1500985 PT
Sompo Insurance</t>
  </si>
  <si>
    <t>00112/IN/INF2430233/24</t>
  </si>
  <si>
    <t> 2-2178778097</t>
  </si>
  <si>
    <t>AO : 7000197974 SID : 3700038-0031232209</t>
  </si>
  <si>
    <t>No: 2001/YN 000/DR2–11220000/2024</t>
  </si>
  <si>
    <t>Novasi Perubahan Nomor Billing 1500078 PT Sari Coffe Indonesia (Starbucks
Indonesia)</t>
  </si>
  <si>
    <t>00133/IN/INF2430233/24</t>
  </si>
  <si>
    <t>SID: 3700038-0029377856</t>
  </si>
  <si>
    <t>Novasi Perubahan Nomor Translasi,Billing dan Channel Berlangganan 1500750 PT
Busan Auto Finance</t>
  </si>
  <si>
    <t>00136/IN/INF2430233/24</t>
  </si>
  <si>
    <t>nomor Akses</t>
  </si>
  <si>
    <t>2-2184433560</t>
  </si>
  <si>
    <t>SID : 3700038-0029470247</t>
  </si>
  <si>
    <t>Novasi (Perubahan Nomor Translasi, Nomor Billing dan Channel Berlangganan) Nomor Akses 1500988 PT. Supra Primatama Nusantara (BIZNET)</t>
  </si>
  <si>
    <t>00160/IN/INF2430233/24</t>
  </si>
  <si>
    <t>2-2190020397</t>
  </si>
  <si>
    <t>AO: 2-317925875 SID: 3700038-3700038-0029469073</t>
  </si>
  <si>
    <t>24CIN10F0044 - IO No Akses 1500988 PT Supra</t>
  </si>
  <si>
    <t>Novasi Perubahan Nomor Billing , Translasi dan Channel Berlangganan 1500667
Bank NTB</t>
  </si>
  <si>
    <t>Charter P232268-05-00</t>
  </si>
  <si>
    <t>00166/IN/INF2430233/24</t>
  </si>
  <si>
    <t>AO: 7000160849 SID: 3700038-0029511980</t>
  </si>
  <si>
    <t>Novasi Perubahan Nomor Billing , Translasi dan Channel Berlangganan 1500515</t>
  </si>
  <si>
    <t>00261/IN/INF2430233/24</t>
  </si>
  <si>
    <t>2-2229538151</t>
  </si>
  <si>
    <t>3700038-0029466065</t>
  </si>
  <si>
    <t>27/8/2024</t>
  </si>
  <si>
    <t>Novasi Perubahan Nomor Billing , Translasi dan Channel Berlangganan 1500094</t>
  </si>
  <si>
    <t>00307/IN/INF2430233/2024</t>
  </si>
  <si>
    <t>2-2244746440</t>
  </si>
  <si>
    <t>3700038-0031323298</t>
  </si>
  <si>
    <t>28/8/2024</t>
  </si>
  <si>
    <t>Novasi (Perubahan Nomor Translasi, Nomor Billing dan Channel
Berlangganan) Nomor Akses 1500002 Universitas Indonesia</t>
  </si>
  <si>
    <t>00309/IN/INF2430233/2024</t>
  </si>
  <si>
    <t>2-2244757967</t>
  </si>
  <si>
    <t>3700038-0031669379</t>
  </si>
  <si>
    <t>Novasi (Perubahan Nomor Translasi, Nomor Billing dan Channel Berlangganan) Nomor Akses 1500016 Bank Muamalat</t>
  </si>
  <si>
    <t>00314/IN/INF2430233/2024</t>
  </si>
  <si>
    <t>3700038-0029429139</t>
  </si>
  <si>
    <t>28/10/2024</t>
  </si>
  <si>
    <t>Novasi Perubahan Nomor Billing , Translasi dan Channel Berlangganan 1500766</t>
  </si>
  <si>
    <t>P220694-01-00</t>
  </si>
  <si>
    <t>00391/IN/INF2430233/2024</t>
  </si>
  <si>
    <t>3700038-0029635221</t>
  </si>
  <si>
    <t>13/12/2024</t>
  </si>
  <si>
    <t>Novasi (Perubahan Nomor Translasi Nomor Billing dan Channel Berlangganan) Nomor Akses 1500456 PT Zurich Asuransi Indonesia</t>
  </si>
  <si>
    <t> P232197-15-00 </t>
  </si>
  <si>
    <t>00458/IN/INF2430233/2024</t>
  </si>
  <si>
    <t>2-2326041287</t>
  </si>
  <si>
    <t>3700038-0029466041_x000D_</t>
  </si>
  <si>
    <t>20/01/2025</t>
  </si>
  <si>
    <t>PSB Link Astinet 5 Mbps Layanan Contact Center Acer Site Infomedia Tendean</t>
  </si>
  <si>
    <t>P232347-02-00</t>
  </si>
  <si>
    <t>00023/IN/INF2340122/24</t>
  </si>
  <si>
    <t>2-2129890897</t>
  </si>
  <si>
    <t>SID: 1916436024</t>
  </si>
  <si>
    <t>No: 262/YN 000/DR2–11220000/2024</t>
  </si>
  <si>
    <t>Aktivasi Astinet 10 Mbps Layanan DJKI</t>
  </si>
  <si>
    <t>00024/IN/INF2340122/24</t>
  </si>
  <si>
    <t>2-2129924003</t>
  </si>
  <si>
    <t>SID: 1917278179</t>
  </si>
  <si>
    <t>No: 363/YN 000/DR2–11220000/2024</t>
  </si>
  <si>
    <t>PSB Link Astinet 10 Mbps Layanan Contact Center Bank Jateng</t>
  </si>
  <si>
    <t>00047/IN/INF2340122/24</t>
  </si>
  <si>
    <t>2-2140001992</t>
  </si>
  <si>
    <t>SID: 1925402
630</t>
  </si>
  <si>
    <t>No. Tel.288/YN 000/DR4-1C100000/2024</t>
  </si>
  <si>
    <t>PSB Link Astinet 2 Mbps Layanan Contact Center Telin Australia untuk KJRI
Sydney Site Infomedia Tendean</t>
  </si>
  <si>
    <t>P231667-02-00</t>
  </si>
  <si>
    <t>00050/IN/INF2340122/24</t>
  </si>
  <si>
    <t>2-2140063942</t>
  </si>
  <si>
    <t>No: 831/YN 000/DR2–11220000/2024</t>
  </si>
  <si>
    <t>VPN IP 20 Mbps Site Infomedia OPMC Bogor</t>
  </si>
  <si>
    <t>Kebutuhan VPN IP</t>
  </si>
  <si>
    <t>00049/IN/INF2340122/24</t>
  </si>
  <si>
    <t> 2-2140035555</t>
  </si>
  <si>
    <t>Backhaul: SID : 1801773235</t>
  </si>
  <si>
    <t>Aktivasi VPNIP Bank Sumut Child Imam Bonjol</t>
  </si>
  <si>
    <t>00052/IN/INF2340122/24</t>
  </si>
  <si>
    <t>2-2152211433</t>
  </si>
  <si>
    <t>SID 1113922772</t>
  </si>
  <si>
    <t>Tel.919/YN140/DR1-112B0000/2024</t>
  </si>
  <si>
    <t>Aktivasi Metro Layanan Sompo Insurance</t>
  </si>
  <si>
    <t>00055/IN/INF2340122/24</t>
  </si>
  <si>
    <t>2-2143407024</t>
  </si>
  <si>
    <t>Aktivasi Astinet 7 Mbps Layanan ICBC Thamrin City</t>
  </si>
  <si>
    <t>relokasi Bank ICBC</t>
  </si>
  <si>
    <t>00056/IN/INF2340122/24</t>
  </si>
  <si>
    <t>2-2143470648</t>
  </si>
  <si>
    <t>di proses di bulan juli 2024</t>
  </si>
  <si>
    <t xml:space="preserve"> PSB Link Metro E 10 mps PT Mora Telematik 
Indonesia (MORATELINDO)</t>
  </si>
  <si>
    <t>Metro : 2-2143308180</t>
  </si>
  <si>
    <t>Metro 4 Mbps: sid 1: 1724741094, sid 2 :1725024640</t>
  </si>
  <si>
    <t xml:space="preserve"> PSB Link Metro E 8 Mbps
Bank Syariah Indonesia</t>
  </si>
  <si>
    <t xml:space="preserve">
Metro : 2-2143326372</t>
  </si>
  <si>
    <t>14040 SID: 3700038-45259</t>
  </si>
  <si>
    <t>Aktivasi Metro Layanan BAF</t>
  </si>
  <si>
    <t>00001/IN/INF2430233/24</t>
  </si>
  <si>
    <t>2-2148601499</t>
  </si>
  <si>
    <t>Aktivasi 1500044</t>
  </si>
  <si>
    <t xml:space="preserve">2-2147378314 </t>
  </si>
  <si>
    <t>Aktivasi Astinet 6 Mbps Layanan Bank India</t>
  </si>
  <si>
    <t xml:space="preserve"> 00012/IN/INF2430233/24</t>
  </si>
  <si>
    <t> 2-2152201046</t>
  </si>
  <si>
    <t>Aktivasi Astinet &amp; VPNIP Layanan FBCC Surabaya</t>
  </si>
  <si>
    <t>P232538-04-00</t>
  </si>
  <si>
    <t>00030/IN/INF2430233/24</t>
  </si>
  <si>
    <t>2-2156567579 - ASTINET</t>
  </si>
  <si>
    <t>2-2156602438 - VPN IP</t>
  </si>
  <si>
    <t>Aktivasi Astinet 20 Mbps Layanan Adhivasindo</t>
  </si>
  <si>
    <t>00040/IN/INF2430233/24</t>
  </si>
  <si>
    <t>2-2158082969</t>
  </si>
  <si>
    <t>Nomor: Tel. 171/YN.000/DR3-11220000/2024</t>
  </si>
  <si>
    <t>Aktivasi Astinet 2 Mbps Layanan SPGDT CImahi Padasuka</t>
  </si>
  <si>
    <t>00063/IN/INF2430233/24</t>
  </si>
  <si>
    <t>2-2166594464</t>
  </si>
  <si>
    <t>Nomor: Tel. 292/YN.000/DR3-11220000/2024</t>
  </si>
  <si>
    <t>Aktivasi Infrastruktur Layanan FMC 2024</t>
  </si>
  <si>
    <t>pergantian link-link dinas FMC</t>
  </si>
  <si>
    <t>00076/IN/INF2430233/24</t>
  </si>
  <si>
    <t>link dualhoming metro p2p interactive 100 Mbps DC Jatinegara TTC Buaran</t>
  </si>
  <si>
    <t>gangguan link</t>
  </si>
  <si>
    <t>00077/IN/INF2430233/24</t>
  </si>
  <si>
    <t>2-2164970233</t>
  </si>
  <si>
    <t>No: 1670/YN 000/DR2–11220000/2024</t>
  </si>
  <si>
    <t>PSB Link Metro E P2P Interactive 12 Mbps BNI Sudirman ke DC Infomedia Jatinegara</t>
  </si>
  <si>
    <t>Surat Permintaan dari BNI</t>
  </si>
  <si>
    <t>00089/IN/INF2430233/24</t>
  </si>
  <si>
    <t>2-2169551517</t>
  </si>
  <si>
    <t>No: 2204/YN 000/DR2–11220000/2024</t>
  </si>
  <si>
    <t>PSB Link Metro E Interaktif 6 Mbps PT Asuransi Astra Buana – DC Jatinegara</t>
  </si>
  <si>
    <t>Penambahan Sip Trunk</t>
  </si>
  <si>
    <t>00093/IN/INF2430233/24</t>
  </si>
  <si>
    <t>2-2174093160</t>
  </si>
  <si>
    <t>No: 1905/YN 000/DR2–11220000/2024</t>
  </si>
  <si>
    <t>Aktivasi Astinet 2 Mbps Layanan Bank NTB</t>
  </si>
  <si>
    <t>00097/IN/INF2430233/24</t>
  </si>
  <si>
    <t>2-2174738304</t>
  </si>
  <si>
    <t>Nomor : TEL. 0875/YN.000/DR5-11000000/2024</t>
  </si>
  <si>
    <t>PSB Internet Indibiz 100 Mbps Site Infomedia Graha Intan Yogyakarta</t>
  </si>
  <si>
    <t>00118/M/INF2430233/24</t>
  </si>
  <si>
    <t>Nomor Pelanggan : 146113136622</t>
  </si>
  <si>
    <t>PSB Link Metro E Interaktif 7 Mbps PT BNI Life Insurance – DC Jatinegara</t>
  </si>
  <si>
    <t>00128/IN/INF2430233/24</t>
  </si>
  <si>
    <t> 2-2183671504</t>
  </si>
  <si>
    <t>No: 2206/YN 000/DR2–11220000/2024</t>
  </si>
  <si>
    <t>PSB Link Astinet 9 Mbps Layanan Contact Center RS. Siloam Site Infomedia BSD</t>
  </si>
  <si>
    <t>00134/IN/INF2430233/24</t>
  </si>
  <si>
    <t>2-2183630335</t>
  </si>
  <si>
    <t>21CIN10F0020 - IO CC Siloam Hospitals Group</t>
  </si>
  <si>
    <t>No: 2100/YN 000/DR2–11220000/2024</t>
  </si>
  <si>
    <t>PSB Link Metro E Interaktif 4 Mbps Hermina Tower -DC Jatinegara</t>
  </si>
  <si>
    <t>Nomor P242711-06-00</t>
  </si>
  <si>
    <t>00141/IN/INF2430233/24</t>
  </si>
  <si>
    <t>2-2189479675</t>
  </si>
  <si>
    <t>17CIN10E5T78 - 1500488 RS HERMINA</t>
  </si>
  <si>
    <t>No: 2180/YN 000/DR2–11220000/2024</t>
  </si>
  <si>
    <t xml:space="preserve">	Permohonan Aktivasi Internet Astinet 2 Mbps Layanan Call Center SPGDT 119 Dinas Kesehatan Daerah Istimewa Yogyakarta</t>
  </si>
  <si>
    <t> 00010/M/INF24333/24</t>
  </si>
  <si>
    <t>00137/M/INF2430233/24</t>
  </si>
  <si>
    <t>Witel Area</t>
  </si>
  <si>
    <t>Aktivasi Astinet 2 Mbps Layanan PLN</t>
  </si>
  <si>
    <t>00152/IN/INF2430233/24</t>
  </si>
  <si>
    <t>2-2189538951</t>
  </si>
  <si>
    <t>24CIN10F0017 - IO 1500515 PT PLN 24CIN10F0017 - IO 1500515 PT PLN</t>
  </si>
  <si>
    <t>No: 2221/YN 000/DR2–11220000/2024</t>
  </si>
  <si>
    <t>Aktivasi Astinet 4 Mbps Layanan Helpdesk Kemenkes</t>
  </si>
  <si>
    <t>00173/IN/INF2430233/24</t>
  </si>
  <si>
    <t>2-2198073249</t>
  </si>
  <si>
    <t>New SIP trunk KBB dan SIP trunk Jatinegara di lokasi Neucentrix Karet dan Trial VM SBC Oracle Karet (JTN)</t>
  </si>
  <si>
    <t>Redudancy Datacenter Infomedia</t>
  </si>
  <si>
    <t>00175/IN/INF2430233/24</t>
  </si>
  <si>
    <t>2-2195644582</t>
  </si>
  <si>
    <t>New SIP trunk KBB dan SIP trunk Jatinegara di lokasi Neucentrix Karet dan Trial VM SBC Oracle Karet (KBB)</t>
  </si>
  <si>
    <t>2-2195644090</t>
  </si>
  <si>
    <t>Upgrade Astinet Layanan LKPP Jogja Graha Intan</t>
  </si>
  <si>
    <t>P242947-01-00 </t>
  </si>
  <si>
    <t>00177/M/INF2430233/24</t>
  </si>
  <si>
    <t>PSB Astinet 2 Mbps Layanan CC SPGDT 119 Dinkes Cilegon (Telkom DWS)</t>
  </si>
  <si>
    <t>00178/M/INF2430233/24</t>
  </si>
  <si>
    <t>2-2217613697</t>
  </si>
  <si>
    <t>PSB Astinet Layanan BJB Site Infomedia Sri Ratu Semarang</t>
  </si>
  <si>
    <t>00184/M/INF2430233/24</t>
  </si>
  <si>
    <t>2-2200848203</t>
  </si>
  <si>
    <t>PSB Metro Layanan BJB Site Infomedia Sri Ratu Semarang</t>
  </si>
  <si>
    <t>2-2200850708</t>
  </si>
  <si>
    <t>Aktivasi Metro 1 Mbps Layanan Chubb Life Insurance</t>
  </si>
  <si>
    <t>00187/IN/INF2430233/24</t>
  </si>
  <si>
    <t>2-2208365245</t>
  </si>
  <si>
    <t>PSB Link Metro E Interaktif 12 Mbps Bank Muamalat -DC Jatinegara</t>
  </si>
  <si>
    <t>00188/IN/INF2430233/24</t>
  </si>
  <si>
    <t>2-2202936513</t>
  </si>
  <si>
    <t>Aktivasi Astinet 10 Mbps Layanan Bank Sumut</t>
  </si>
  <si>
    <t>P242912-01-00 </t>
  </si>
  <si>
    <t>00203/IN/INF2430233/24</t>
  </si>
  <si>
    <t>2-2208347110</t>
  </si>
  <si>
    <t>Revisi Alamat Aktivasi Metro 1 Mbps Layanan Chubb Life Insurance</t>
  </si>
  <si>
    <t>00206/IN/INF2430233/24</t>
  </si>
  <si>
    <t>Revisi alamat PSB</t>
  </si>
  <si>
    <t>Permohonan Perubahan Nomor Translasi Permanen 1500063 Persada Makmur Indonesia Hari Kamis Tanggal 27 Juni 2024 Mulai Pukul 13:00:00</t>
  </si>
  <si>
    <t>2-2206067060</t>
  </si>
  <si>
    <t xml:space="preserve"> Colocation rack DC Neucentrix Meruya
		</t>
  </si>
  <si>
    <t> keperluan Backup Data</t>
  </si>
  <si>
    <t>00221/IN/INF2430233/24</t>
  </si>
  <si>
    <t>Pending</t>
  </si>
  <si>
    <t>Aktivasi Nomor Akses 1500629 &amp; Aktivasi Astinet PT HISI (Nomor Akses)</t>
  </si>
  <si>
    <t>2-2208393111</t>
  </si>
  <si>
    <t>PSB Internet Indibiz Layanan CC CIMB Niaga Yogyakarta</t>
  </si>
  <si>
    <t>PR 07703</t>
  </si>
  <si>
    <t>00231/M/INF2430233/24</t>
  </si>
  <si>
    <t>PSB Internet Indibiz Layanan CC Cimbniaga Semarang</t>
  </si>
  <si>
    <t>Aktivasi Astinet 4 Mbps Layanan BMKG</t>
  </si>
  <si>
    <t>00233/IN/INF2430233/24</t>
  </si>
  <si>
    <t>2-2217098247</t>
  </si>
  <si>
    <t>PSB Link Internet Astinet 1 Mbps Layanan Call Center SPGDT 119 Dinkes Ogan Komering Ilir</t>
  </si>
  <si>
    <t>00029/M/INF24333/24</t>
  </si>
  <si>
    <t>00236/M/INF2430233/24</t>
  </si>
  <si>
    <t>Aktivasi Metro Layanan ChubbLife Insurance</t>
  </si>
  <si>
    <t>2-2211950394</t>
  </si>
  <si>
    <t>Aktivasi Astinet 2 Mbps Layanan Starbuck</t>
  </si>
  <si>
    <t>00239/IN/INF2430233/24</t>
  </si>
  <si>
    <t>2-2219637257</t>
  </si>
  <si>
    <t>36.67.58.18/29</t>
  </si>
  <si>
    <t>PSB Infrastruktur Layanan Contact Center Listriqu Haleyora Duren Tiga</t>
  </si>
  <si>
    <t>00024/M/1NF24335/24</t>
  </si>
  <si>
    <t>Aktivasi Astinet 8 Mbps Layanan ICBC TCT</t>
  </si>
  <si>
    <t>00073/M/INF24346/24</t>
  </si>
  <si>
    <t>00250/IN/INF2430233/24</t>
  </si>
  <si>
    <t>2-2226243238</t>
  </si>
  <si>
    <t>22/07/2024</t>
  </si>
  <si>
    <t>Aktivasi Astinet 50 Mbps Layanan Kalbe</t>
  </si>
  <si>
    <t>00251/IN/INF2430233/24</t>
  </si>
  <si>
    <t>PSB Link Metro E 8 Mbps dan Masking Outbound Nomor Akses 1500600 Pizza Hut (Metro)</t>
  </si>
  <si>
    <t>2-2231204809</t>
  </si>
  <si>
    <t>Aktivasi Astinet 2 Mbps Layanan SPGDT Lebak Banten</t>
  </si>
  <si>
    <t>00274/IN/INF2430233/24</t>
  </si>
  <si>
    <t>2-2231442133</t>
  </si>
  <si>
    <t>Permohonan Dismentle link BMKG (Astinet)</t>
  </si>
  <si>
    <t>2-2236142449</t>
  </si>
  <si>
    <t>Permohonan PSB Link Internet Astinet 2 Mbps CC SPGDT 119 Kab. Serang</t>
  </si>
  <si>
    <t>PSB Link Metro E Interaktif 4 Mbps PT Cyberindo Aditama ke DC Infomedia Jatinegara</t>
  </si>
  <si>
    <t>00353/IN/INF2430233/2024</t>
  </si>
  <si>
    <t>Permohonan Aktivasi Internet Astinet Layanan CC Otorita Ibu Kota Nusantara</t>
  </si>
  <si>
    <t>PSB Link Metro E Interaktif 5 Mbps PT Kartika Bina Medika to DC Jatinegara</t>
  </si>
  <si>
    <t>00363/IN/INF2430233/2024</t>
  </si>
  <si>
    <t>21/10/2024</t>
  </si>
  <si>
    <t>Permohonan Aktivasi Siptrunk Baru Layanan Pertamina 1500-000 &amp; 1500-234</t>
  </si>
  <si>
    <t>23/10/2024</t>
  </si>
  <si>
    <t>Permohonan Aktivasi Astinet &amp; Metro Layanan Pertamina Bandung &amp; Semarang (Bandung)</t>
  </si>
  <si>
    <t>2-2291305664</t>
  </si>
  <si>
    <t>ReAktivasi Link Metro PT Investree Radhika Jaya ke DC Jatinegara</t>
  </si>
  <si>
    <t>00395/IN/INF2430233/2024</t>
  </si>
  <si>
    <t>00399/IN/INF2430233/2024</t>
  </si>
  <si>
    <t>Masking Nomor Akses 1500153 Bank Sinarmas dan PSB Link Metro E Interaktif 12 Mbps Bank SInarmas</t>
  </si>
  <si>
    <t>00415/IN/INF2430233/2024</t>
  </si>
  <si>
    <t>2-2302829961</t>
  </si>
  <si>
    <t>Link Internet Astinet 1 Mbps Layanan Call Center SPGDT 119 Dinkes Kota Padang Panjang</t>
  </si>
  <si>
    <t>00075/M/INF24333/2024</t>
  </si>
  <si>
    <t>00423/M/INF2430233/2024</t>
  </si>
  <si>
    <t>Link Internet Astinet 1 Mbps Layanan Call Center SPGDT 119 Dinkes Kab Muara Enim</t>
  </si>
  <si>
    <t>00076/M/INF24333/2024</t>
  </si>
  <si>
    <t>00424/M/INF2430233/2024</t>
  </si>
  <si>
    <t>2-2309753069</t>
  </si>
  <si>
    <t>29/11/2024</t>
  </si>
  <si>
    <t>PSB Astinet 10 Mbps Layanan Quality Control Infrastruktur Telekomunikasi</t>
  </si>
  <si>
    <t>P242966-04-00</t>
  </si>
  <si>
    <t>00436/IN/INF2430233/2024</t>
  </si>
  <si>
    <t>2-2318556989</t>
  </si>
  <si>
    <t>Link Internet Astinet 2 Mbps Layanan Call Center SPGDT 119 Dinas Kesehatan Kab Deli Serdang</t>
  </si>
  <si>
    <t>00078/M/INF24333/2024</t>
  </si>
  <si>
    <t>00441/M/INF2430233/2024</t>
  </si>
  <si>
    <t>PSB Link Indibiz 200 Mbps Layanan Pengadaan Manage Service B2B Aftersales Site Infomedia TBB Bandung</t>
  </si>
  <si>
    <t>00446/M/INF2430233/2024</t>
  </si>
  <si>
    <t>SC1001546260</t>
  </si>
  <si>
    <t>2-2322329643</t>
  </si>
  <si>
    <t>PSB Link Metro E Interaktif 8 Mbps Bank ICBC</t>
  </si>
  <si>
    <t>00019/M/INF24231/2024</t>
  </si>
  <si>
    <t>00451/IN/INF2430233/2024</t>
  </si>
  <si>
    <t>2-2323288555</t>
  </si>
  <si>
    <t>Aktivasi Astinet 2 Mbps PSC Pandeglang</t>
  </si>
  <si>
    <t>00454/IN/INF2430233/2024</t>
  </si>
  <si>
    <t>2-2328838801</t>
  </si>
  <si>
    <t>36.67.13.105/29</t>
  </si>
  <si>
    <t>PSB Infrastruktur Layanan CIM Convergency Telkomsel Site Infomedia Sri Ratu Semarang</t>
  </si>
  <si>
    <t>P242802-02-00</t>
  </si>
  <si>
    <t>00459/IN/INF2430233/2024</t>
  </si>
  <si>
    <t>Upgrade Link Metro E 5 Mbps menjadi 12 Mbps PT. Asuransi BRI Life Jakarta</t>
  </si>
  <si>
    <t>P232252-03-0</t>
  </si>
  <si>
    <t>00006/IN/INF2340122/24</t>
  </si>
  <si>
    <t> 2-2125056266</t>
  </si>
  <si>
    <t>AO: 2-1758982589 SID : 1713333767, 1712918666
ME3-D2-SM1 6/1/15:2199, ME3-D2-JT
4/1/5:2199</t>
  </si>
  <si>
    <t>No: 111/YN 000/DR2–11220000/2024</t>
  </si>
  <si>
    <t xml:space="preserve">Upgrade Astinet Layanan BKPM GIF dan </t>
  </si>
  <si>
    <t>F232499-01-00-Jasa</t>
  </si>
  <si>
    <t>00019/IN/INF2340122/24</t>
  </si>
  <si>
    <t xml:space="preserve">BKPM 200Mbps : 2-2129872120
BKPM </t>
  </si>
  <si>
    <t xml:space="preserve">SID 1738541529
</t>
  </si>
  <si>
    <t>No 275/YN 000/DR2–11220000/2024</t>
  </si>
  <si>
    <t>Aktivasi Astinet Kantor BKPM</t>
  </si>
  <si>
    <t>100Mbps : 2-2129877467</t>
  </si>
  <si>
    <t xml:space="preserve"> No Order: 2-1868769097</t>
  </si>
  <si>
    <t>No: 1405/YN 000/DR2–11220000/2024</t>
  </si>
  <si>
    <t>Upgrade Astinet Layanan SRC 20 Mbps</t>
  </si>
  <si>
    <t>Modin dari OPS terkait Upgrade</t>
  </si>
  <si>
    <t>00080/IN/INF2340122/24</t>
  </si>
  <si>
    <t>2-2144327539</t>
  </si>
  <si>
    <t>SID 1714671202 No Order: 2-1788295826</t>
  </si>
  <si>
    <t>Upgrade Internet Astinet 6 Mbps menjadi 100 Mbps di Site Infomedia Tendean</t>
  </si>
  <si>
    <t>Reengineering
Network Infomedia,</t>
  </si>
  <si>
    <t>00004/IN/INF2430233/24</t>
  </si>
  <si>
    <t> 2-2148532113</t>
  </si>
  <si>
    <t>Permohonan Upgrade Metro Layanan Radikari Dana</t>
  </si>
  <si>
    <t>2-2152219078</t>
  </si>
  <si>
    <t>27/2/2024</t>
  </si>
  <si>
    <t>Upgrade Internet Astinet 200 Mbps menjadi 1300 Mbps Rekrutmen Bersama
BUMN di NeuCentrix Jakarta - Meruya</t>
  </si>
  <si>
    <t>F242679-03-00</t>
  </si>
  <si>
    <t>00046/IN/INF2430233/24</t>
  </si>
  <si>
    <t>2-2158309285</t>
  </si>
  <si>
    <t>upgrade link astinet neucentrix meruya dan penambahan ip public astinet</t>
  </si>
  <si>
    <t>00095/IN/INF2340122/23</t>
  </si>
  <si>
    <t>00047/IN/INF2430233/24</t>
  </si>
  <si>
    <t>2-2158645128</t>
  </si>
  <si>
    <t>sid = 1751080534</t>
  </si>
  <si>
    <t>upgrade link metro p2p 100 Mbps DC neucentrix Karet - DC neucentrix Meruya</t>
  </si>
  <si>
    <t>Email Konfirmasi dari pm</t>
  </si>
  <si>
    <t>00048/IN/INF2430233/24</t>
  </si>
  <si>
    <t>Sid – 1725119381 , sid – 1725119459</t>
  </si>
  <si>
    <t>No: 1529/YN 000/DR2–11220000/2024</t>
  </si>
  <si>
    <t>Upgrade astinet 3Gbps layanan BUMN per tgl 23 Maret 2024</t>
  </si>
  <si>
    <t>Email Infomedia</t>
  </si>
  <si>
    <t>00080/IN/INF2430233/24</t>
  </si>
  <si>
    <t>Upgrade astinet 4Gbps layanan BUMN per tgl 23 Maret 2024</t>
  </si>
  <si>
    <t>Email Infomedia tanggal 6 maret 2024</t>
  </si>
  <si>
    <t>00081/IN/INF2430233/24</t>
  </si>
  <si>
    <t>2-2165444674</t>
  </si>
  <si>
    <t xml:space="preserve">Upgrade Infrastruktur Layanan Manage Contact Center Neusoft Infomedia Graha Intan Yogyakarta
		</t>
  </si>
  <si>
    <t>00091/M/INF2430233/24</t>
  </si>
  <si>
    <t>2-2175710117</t>
  </si>
  <si>
    <t>SID : 1711010612</t>
  </si>
  <si>
    <t>No. Tel. 1057/YN 000/DR4-1C100000/2024</t>
  </si>
  <si>
    <t>upgrade astinet 1,8 Gbps layanan BUMN per tgl 19 April 2024</t>
  </si>
  <si>
    <t>Permintaan dari user terkait pengumuman ujian online test RBB</t>
  </si>
  <si>
    <t>00102/IN/INF2430233/24</t>
  </si>
  <si>
    <t>2-2174285196</t>
  </si>
  <si>
    <t xml:space="preserve">	
ao = 2-1829230202 sid = 1725111684  vlan 3067</t>
  </si>
  <si>
    <t>Upgrade Astinet 50 Mbps Layanan DJKI</t>
  </si>
  <si>
    <t>00104/IN/INF2430233/24</t>
  </si>
  <si>
    <t>2-2175293763</t>
  </si>
  <si>
    <t>SID 1917278179 AO 2-2129924003</t>
  </si>
  <si>
    <t>No: 1958/YN 000/DR2–11220000/2024</t>
  </si>
  <si>
    <t>Upgrade Infrastruktur Link Pam Jaya</t>
  </si>
  <si>
    <t>P231901-04-00</t>
  </si>
  <si>
    <t>00107/IN/INF2430233/24</t>
  </si>
  <si>
    <t xml:space="preserve">SID = 1782011091 </t>
  </si>
  <si>
    <t>Upgrade Infrastruktur BSI Wisma Mandiri</t>
  </si>
  <si>
    <t>Modin dari Operasional</t>
  </si>
  <si>
    <t>00109/IN/INF2430233/24</t>
  </si>
  <si>
    <t xml:space="preserve">Astinet : 2-2176243048
Metro : 2-2176247661
</t>
  </si>
  <si>
    <t>SID 1711645657 AO 2-1754838581</t>
  </si>
  <si>
    <t>No: 1959/YN 000/DR2–11220000/2024</t>
  </si>
  <si>
    <t xml:space="preserve">Permohonan Novasi (Perubahan Nomor Translasi, Nomor Billing dan Channel Berlangganan) Nomor Akses 1500933 PT. Supra Primatama Nusantara (BIZNET)
</t>
  </si>
  <si>
    <t>2-2190008851</t>
  </si>
  <si>
    <t>3700038-0029469208</t>
  </si>
  <si>
    <t>Upgrade Astinet Backup Graha Intan Jogja</t>
  </si>
  <si>
    <t>Email dari PM terkait Project Vaksin</t>
  </si>
  <si>
    <t>00165/IN/INF2430233/24</t>
  </si>
  <si>
    <t>SID 1761505393 AO 2-1996205782</t>
  </si>
  <si>
    <t>Upgrade Link Metro E 20 Mbps menjadi 40 Mbps DC Jatinegara- TTC Buaran Telkomsel</t>
  </si>
  <si>
    <t> 00051/M/INF24322/24</t>
  </si>
  <si>
    <t>00161/IN/INF2430233/24</t>
  </si>
  <si>
    <t>Buaran : 2-2191320755
Jatinegara : 2-2191382899</t>
  </si>
  <si>
    <t>3700038-0031019240</t>
  </si>
  <si>
    <t>3700038-0031019421</t>
  </si>
  <si>
    <t xml:space="preserve">Upgrade Link Astinet 80 Mbps menjadi 150 Mbps Layanan Manage Contact Center Neusoft Site Infomedia Graha Intan Yogyakarta
		</t>
  </si>
  <si>
    <t>00168/IN/INF2430233/24</t>
  </si>
  <si>
    <t>SID 1761505393</t>
  </si>
  <si>
    <t> 1711010612</t>
  </si>
  <si>
    <t>upgrade astinet 1,3 Gbps layanan BUMN per tgl 15 Juni 2024</t>
  </si>
  <si>
    <t>00200/IN/INF2430233/24</t>
  </si>
  <si>
    <t xml:space="preserve"> Upgrade Astinet Layanan Komersil Jasindo</t>
  </si>
  <si>
    <t>00205/IN/INF2430233/24</t>
  </si>
  <si>
    <t>2-2206755195</t>
  </si>
  <si>
    <t>SID 1704550247 AO 2-1558772229</t>
  </si>
  <si>
    <t>Permohonan Aktivasi Astinet 50 Mbps Layanan DJKI</t>
  </si>
  <si>
    <t>2-2236191968</t>
  </si>
  <si>
    <t>Upgrade Link Metro E 4 Mbps menjadi 8 Mbps Layanan OCBC NISP</t>
  </si>
  <si>
    <t>NR. 335/PURc IT/PO/IN/7/24</t>
  </si>
  <si>
    <t>00310/IN/INF2430233/2024</t>
  </si>
  <si>
    <t>2-2253476053</t>
  </si>
  <si>
    <t>Upgrade Link Metro E 1 Mbps menjadi 5 Mbps Layanan Persada</t>
  </si>
  <si>
    <t>00014/M/INF24231/2024</t>
  </si>
  <si>
    <t>00321/IN/INF2430233/2024</t>
  </si>
  <si>
    <t>20/9/2024</t>
  </si>
  <si>
    <t>Upgrade Astinet untuk Layanan Indihome Telkomsel Tendean</t>
  </si>
  <si>
    <t>P242725-04-00</t>
  </si>
  <si>
    <t>00335/IN/INF2430233/2024</t>
  </si>
  <si>
    <t>14/10/2024</t>
  </si>
  <si>
    <t>Permohonan Upgrade Astinet untuk Layanan Indihome Telkomsel Tendean</t>
  </si>
  <si>
    <t>Upgrade Astinet Layanan Ex Vaksin SMG &amp; Pertamina TBB</t>
  </si>
  <si>
    <t>Meeting</t>
  </si>
  <si>
    <t>00390/IN/INF2430233/2024</t>
  </si>
  <si>
    <t>Cancel</t>
  </si>
  <si>
    <t>26/10/2024</t>
  </si>
  <si>
    <t>Permohonan Perubahan Nomor Translasi Permanen 1500228 Trakindo &amp; 1500878 TSU dan Aktivasi Masking Outbond (1500228)</t>
  </si>
  <si>
    <t>2-2292506481</t>
  </si>
  <si>
    <t>3700038-29463210</t>
  </si>
  <si>
    <t>Permohonan Perubahan Nomor Translasi Permanen 1500228 Trakindo &amp; 1500878 TSU dan Aktivasi Masking Outbond (1500878)</t>
  </si>
  <si>
    <t>2-2297925983</t>
  </si>
  <si>
    <t>Permohonan Perubahan Nomor Translasi Permanen 1500228 Trakindo &amp; 1500878 TSU dan Aktivasi Masking Outbond (Masking)</t>
  </si>
  <si>
    <t>2-2292527641</t>
  </si>
  <si>
    <t>Upgrade Link Metro E 8 Mbps menjadi 10 Mbps Bank Permata</t>
  </si>
  <si>
    <t>00401/IN/INF2430233/2024</t>
  </si>
  <si>
    <t>22/11/2024</t>
  </si>
  <si>
    <t>Upgrade Astinet 8 Mbps menjadi 15 Mbps CC Bjbs Site Infomedia TBB</t>
  </si>
  <si>
    <t xml:space="preserve">
00430/IN/INF2430233/2024</t>
  </si>
  <si>
    <t>2-2310974696</t>
  </si>
  <si>
    <t>Upgrade Indihome Bank Jatim ke Indibiz 50 Mbps</t>
  </si>
  <si>
    <t>00431/M/INF2430233/2024</t>
  </si>
  <si>
    <t>Upgrade Metro Trakindo dan Dismantle Masking Outbond Layanan 1500228 &amp; 1500878</t>
  </si>
  <si>
    <t>00440/IN/INF2430233/2024</t>
  </si>
  <si>
    <t> 2-2320812581</t>
  </si>
  <si>
    <t>Dismantle : 2-2320816476
Dismantle : 2-2320818566</t>
  </si>
  <si>
    <t>Permohonan PSB Link Metro E Interaktif 8 Mbps Bank ICBC</t>
  </si>
  <si>
    <t>Upgrade Astinet untuk Layanan Ramayana</t>
  </si>
  <si>
    <t>00456/IN/INF2430233/2024</t>
  </si>
  <si>
    <t>2-2326131030</t>
  </si>
  <si>
    <t>25/12/2024</t>
  </si>
  <si>
    <t>Aktivasi Nomor Akses 102</t>
  </si>
  <si>
    <t>2-2330060684</t>
  </si>
  <si>
    <t>25/12/2025</t>
  </si>
  <si>
    <t>30/12/2024</t>
  </si>
  <si>
    <t>Permohonan Aktivasi Nomor Akses 126 Kemendiktisaintek</t>
  </si>
  <si>
    <t>2-2335029766</t>
  </si>
  <si>
    <t>31/12/2024</t>
  </si>
  <si>
    <t>Permohonan PSB Astinet LAyanan Walk in Kemendiktisaintek</t>
  </si>
  <si>
    <t>00471/IN/INF2430233/2024</t>
  </si>
  <si>
    <t>2-2350532099</t>
  </si>
  <si>
    <t>Permohonan PSB Astinet  Layanan CC Kemendiktisaintek</t>
  </si>
  <si>
    <t>2-2350533831</t>
  </si>
  <si>
    <t>Dismantle Nomor Akses Dismentle No Akses 1500004 KPU Bea dan Cukai Tipe A Tanjung Priok &amp; 1500745 Tax Amnesty (1500745)</t>
  </si>
  <si>
    <t>2-2235298893</t>
  </si>
  <si>
    <t>3700038-0029582427</t>
  </si>
  <si>
    <t>Permohonan PSB Metro E Interaktif 1 Mbps Dc Jatinegara ke Site Infomedia Sri Ratu Semarang</t>
  </si>
  <si>
    <t>Permohonan Aktivasi Nomor Akses 150125 LAPS SJK</t>
  </si>
  <si>
    <t>00004/IN/INF2430233/2025</t>
  </si>
  <si>
    <t>2-2339551508</t>
  </si>
  <si>
    <t>Permohonan Aktivasi Nomor Akses 1500900 Balai Besar Kekarantinaan Kesehatan</t>
  </si>
  <si>
    <t>00003/M/INF2425/2025</t>
  </si>
  <si>
    <t>00006/IN/INF2430233/2025</t>
  </si>
  <si>
    <t>2-2343063803</t>
  </si>
  <si>
    <t>Permohonan Aktivasi Nomor dan Masking Outbound Nomor Akses 129 KPPPA TESA</t>
  </si>
  <si>
    <t>00011/IN/INF2430233/2025</t>
  </si>
  <si>
    <t>2-2343057079</t>
  </si>
  <si>
    <t>Permohonan Perubahan Nomor Translasi Permanen Nomor Akses 1500300 Bank BTPN Tanggal 9 Januari 2025 Pukul 12:00:00 dan seterusnya</t>
  </si>
  <si>
    <t>2-2342143443</t>
  </si>
  <si>
    <t>3700038-0029465394</t>
  </si>
  <si>
    <t>Permohonan Aktivasi Astinet 2 Mbps SPGDT Dinkes Kab. Bandung Bara</t>
  </si>
  <si>
    <t>00014/IN/INF2430233/2025</t>
  </si>
  <si>
    <t>2-2350672997</t>
  </si>
  <si>
    <t>36.66.131.121</t>
  </si>
  <si>
    <t>Permohonan Perubahan Nomor Translasi Permanen Nomor Akses 1500365 Bank BTPN Tanggal 17 Januari 2025 Jam 00:00:00 dan seterusnya</t>
  </si>
  <si>
    <t>2-2348681333</t>
  </si>
  <si>
    <t>3700038-0028598384</t>
  </si>
  <si>
    <t>22/1/2025</t>
  </si>
  <si>
    <t>14/1/2025</t>
  </si>
  <si>
    <t>Permohonan Aktivasi Metro 1 Mbps Layanan Jasa Raharja</t>
  </si>
  <si>
    <t>00018/IN/INF2430233/2025</t>
  </si>
  <si>
    <t>2-2367777638</t>
  </si>
  <si>
    <t>00017/IN/INF2430233/2025</t>
  </si>
  <si>
    <t>2-2350215821</t>
  </si>
  <si>
    <t>15/1/2025</t>
  </si>
  <si>
    <t>00020/IN/INF2430233/2025</t>
  </si>
  <si>
    <t> 2-2362234161</t>
  </si>
  <si>
    <t>Dismentle Link Metro BKPM dan Downgrade Astinet BKPM GIF</t>
  </si>
  <si>
    <t>Layanan BKPM Relokasi ke Gatsu</t>
  </si>
  <si>
    <t>00022/IN/INF2430233/2025</t>
  </si>
  <si>
    <t>2-2350665282</t>
  </si>
  <si>
    <t>Aktivasi Metro 5 Mbps Layanan BKPM Gatsu</t>
  </si>
  <si>
    <t>00024/IN/INF2430233/2025</t>
  </si>
  <si>
    <t>2-2362266062</t>
  </si>
  <si>
    <t>16/1/2025</t>
  </si>
  <si>
    <t>Aktivasi Nomor Akses 1500041 Perumda Tirta Benteng</t>
  </si>
  <si>
    <t>00025/IN/INF2430233/2025</t>
  </si>
  <si>
    <t>2-2362250255</t>
  </si>
  <si>
    <t>Dismantle Nomor Akses Nomor Akses 1500030 dan 1500938 a.n Bank
Commonwealth</t>
  </si>
  <si>
    <t>00006/M/INF24382/2025</t>
  </si>
  <si>
    <t>00026/IN/INF2430233/2025</t>
  </si>
  <si>
    <t>Dismantle Nomor Akses Nomor Akses 1500-000 PERTAMINA</t>
  </si>
  <si>
    <t>00002/M/INF24382/2025</t>
  </si>
  <si>
    <t>00027/IN/INF2430233/2025</t>
  </si>
  <si>
    <t>2-2363191909</t>
  </si>
  <si>
    <t>17/1/2025</t>
  </si>
  <si>
    <t>Upgrade Kapasitas BW 200 Mbps linkJatinegara dan TTC BSD</t>
  </si>
  <si>
    <t>kebutuhan operasional</t>
  </si>
  <si>
    <t>00030/IN/INF2430233/2025</t>
  </si>
  <si>
    <t>20/1/2025</t>
  </si>
  <si>
    <t>Novasi (Perubahan Nomor Translasi Nomor Billing dan Channel Berlangganan) Nomor Akses 1500153 PT Bank Sinarmas</t>
  </si>
  <si>
    <t>P243357-01-00 </t>
  </si>
  <si>
    <t>00032/IN/INF2430233/2025</t>
  </si>
  <si>
    <t>24/1/2025</t>
  </si>
  <si>
    <t>Aktivasi Nomor dan Masking Outbound Nomor Akses 1500056 RSUP Kemenkes Surabaya</t>
  </si>
  <si>
    <t>00033/IN/INF2430233/2025</t>
  </si>
  <si>
    <t> 2-2362242720</t>
  </si>
  <si>
    <t> Aktivasi Astinet Call Center Bank Jatim 2025</t>
  </si>
  <si>
    <t> P243642-02-00</t>
  </si>
  <si>
    <t>00035/IN/INF2430233/2025</t>
  </si>
  <si>
    <t>2-2365320408</t>
  </si>
  <si>
    <t>36.89.58.82/29</t>
  </si>
  <si>
    <t>Dismantle Nomor Akses Nomor Akses 1500987 PT Zurich Topas Life</t>
  </si>
  <si>
    <t>00008/M/INF24382/2025</t>
  </si>
  <si>
    <t>00037/IN/INF2430233/2025</t>
  </si>
  <si>
    <t>30/1/2025</t>
  </si>
  <si>
    <t>Permohonan Aktivasi Masking Outbond 1500105 Ditjen AHU</t>
  </si>
  <si>
    <t xml:space="preserve">P243658-01-00 </t>
  </si>
  <si>
    <t>00040/IN/INF2430233/2025</t>
  </si>
  <si>
    <t>2-2363145165</t>
  </si>
  <si>
    <t>Permohonan Dismentle Link Astinet Koperasi Nusantara</t>
  </si>
  <si>
    <t>P243682-01-00</t>
  </si>
  <si>
    <t>00039/IN/INF2430233/2025</t>
  </si>
  <si>
    <t>2-2112994600</t>
  </si>
  <si>
    <t>Dismantle Nomor Akses Nomor Akses 1500014 Kementrian Perdagangan</t>
  </si>
  <si>
    <t>00010/M/INF24382/2025</t>
  </si>
  <si>
    <t>00043/IN/INF2430233/2025</t>
  </si>
  <si>
    <t>2-1450838987</t>
  </si>
  <si>
    <t>Dismantle Nomor Akses Nomor Akses 1500132 dan Link Astinet 5 Mbps Dinkes Kota Semarang</t>
  </si>
  <si>
    <t>00012/M/INF24382/2025</t>
  </si>
  <si>
    <t>00044/IN/INF2430233/2025</t>
  </si>
  <si>
    <t>3700038-0029897215</t>
  </si>
  <si>
    <t>Dismantle Masking Outbound Nomor Akses 1500630 Pusat Pasar Kerja Kemenaker RI</t>
  </si>
  <si>
    <t>00045/IN/INF2430233/2025</t>
  </si>
  <si>
    <t>00049/M/INF2430233/2025</t>
  </si>
  <si>
    <t>Permohonan Aktivasi Masking Outbond 150922 RS Ngoerah</t>
  </si>
  <si>
    <t xml:space="preserve">P243554-01-00 </t>
  </si>
  <si>
    <t>00047/IN/INF2430233/2025</t>
  </si>
  <si>
    <t>2-2368479492</t>
  </si>
  <si>
    <t>Permohonan Downgrade Astinet Fatma&amp; Dismantle Metro Layanan BJBS Via DWS</t>
  </si>
  <si>
    <t>00013/M/INF24382/2025</t>
  </si>
  <si>
    <t>00053/IN/INF2430233/2025</t>
  </si>
  <si>
    <t>blm ada no order</t>
  </si>
  <si>
    <t>Permohonan Dismentle Link Astinet &amp; Metro SRC via Dws</t>
  </si>
  <si>
    <t>00014/M/INF24344/2025</t>
  </si>
  <si>
    <t>00051/IN/INF2430233/2025</t>
  </si>
  <si>
    <t>Metro : 2-2397311993</t>
  </si>
  <si>
    <t>Astinet : 2-2397320948</t>
  </si>
  <si>
    <t>Permohonan Upgrade Astinet FBCC BDG dan VPN IP SMG MJP via Des</t>
  </si>
  <si>
    <t>F243354-02-00</t>
  </si>
  <si>
    <t>00052/M/INF2430233/2025</t>
  </si>
  <si>
    <t>Aktivasi Astinet Layanan Nomor Akses Perumda Tirta Benteng</t>
  </si>
  <si>
    <t>00003/IN/INF25463/2025</t>
  </si>
  <si>
    <t>2-2373045123</t>
  </si>
  <si>
    <t>36.88.191.25/29</t>
  </si>
  <si>
    <t>Dismantle Link Astinet 10 Mbps Contact Center Kemenhub</t>
  </si>
  <si>
    <t>00002/M/INF25372/2025</t>
  </si>
  <si>
    <t>00005/IN/INF25463/2025</t>
  </si>
  <si>
    <t>Dismantle Nomor Akses Nomor Akses 151 dan Infrastruktur Contact Center Kemenhub</t>
  </si>
  <si>
    <t>00006/IN/INF25463/2025</t>
  </si>
  <si>
    <t>Dismantle Nomor Akses Nomor Akses 152 dan Infrastruktur Contact Center Ditjen Kekayaan Intelektual DKI Jakarta</t>
  </si>
  <si>
    <t>00001/M/INF24333/2025</t>
  </si>
  <si>
    <t>00007/IN/INF25463/2025</t>
  </si>
  <si>
    <t>152 : 2-2373051798</t>
  </si>
  <si>
    <t>Astinet : 2-2241496695</t>
  </si>
  <si>
    <t>Upgrade Link Metro E 5 Mbps menjadi 8 Mbps PT Persada Makmur Indonesia</t>
  </si>
  <si>
    <t>P243365-01-00</t>
  </si>
  <si>
    <t>00012/IN/INF25463/2025</t>
  </si>
  <si>
    <t>17/2/2025</t>
  </si>
  <si>
    <t>PSB Link Internet Astinet 20 Mbps REKRUTMEN BERSAMA BUMN (RBB) Site Infomedia Fatmawati</t>
  </si>
  <si>
    <t>P253906-00-0</t>
  </si>
  <si>
    <t>00014/M/INF25463/2025</t>
  </si>
  <si>
    <t>2-2391047605</t>
  </si>
  <si>
    <t>PSB Link Metro E Interaktif 1 Mbps PT Sigma Cipta Caraka</t>
  </si>
  <si>
    <t>P243506-03-00</t>
  </si>
  <si>
    <t>00016/IN/INF25463/2025</t>
  </si>
  <si>
    <t>18/2/2025</t>
  </si>
  <si>
    <t>Permohonan Aktivasi Nomor Akses 1500199 Solaria</t>
  </si>
  <si>
    <t>P243544-02-00 </t>
  </si>
  <si>
    <t>00018/IN/INF25463/2025</t>
  </si>
  <si>
    <t>2-2383661199</t>
  </si>
  <si>
    <t>21/2/2025</t>
  </si>
  <si>
    <t>Permohonan Upgrade metro Layanan  BSI Wisma Mandiri via DWS</t>
  </si>
  <si>
    <t>PR OPS</t>
  </si>
  <si>
    <t>00024/IN/INF25463/2025</t>
  </si>
  <si>
    <t>2-1739382015</t>
  </si>
  <si>
    <t> Aktivasi Metro 20 Mbps &amp; Downgrade Metro Layanan Pertamina</t>
  </si>
  <si>
    <t>00021/IN/INF25463/2025</t>
  </si>
  <si>
    <t>DG : 2-2398283558</t>
  </si>
  <si>
    <t>AO: 2-2399472367</t>
  </si>
  <si>
    <t>Aktivasi Internet Moratel DIA Mix 10 Mbps Layanan LKPP Jakarta</t>
  </si>
  <si>
    <t>P243619-04-00</t>
  </si>
  <si>
    <t>00023/M/INF25463/2025</t>
  </si>
  <si>
    <t>Aktivasi Masking Layanan Pertamina 1500234 Via DWS</t>
  </si>
  <si>
    <t xml:space="preserve">P243500-03-00 </t>
  </si>
  <si>
    <t>00022/IN/INF25463/2025</t>
  </si>
  <si>
    <t>2-2391078620</t>
  </si>
  <si>
    <t>Dismantle Nomor Akses Nomor Akses 1500028 dan Link Metro E 1 Mbps PT Inti Prima Rasa Tanggal 25 Februari 2025</t>
  </si>
  <si>
    <t>00007/M/INF25372/2025</t>
  </si>
  <si>
    <t>00025/IN/INF25463/2025</t>
  </si>
  <si>
    <t>24/2/2025</t>
  </si>
  <si>
    <t>Permohonan Downgrade Astinet Layanan AlloBank</t>
  </si>
  <si>
    <t> 00001/M/INF25231/2025</t>
  </si>
  <si>
    <t>00027/IN/INF25463/2025</t>
  </si>
  <si>
    <t>2-2397311568</t>
  </si>
  <si>
    <t>36.93.179.145/29</t>
  </si>
  <si>
    <t>20/2/2025</t>
  </si>
  <si>
    <t xml:space="preserve">Permohonan Aktivasi Masking Layanan Pertamina135 </t>
  </si>
  <si>
    <t>00045/IN/INF224122/22</t>
  </si>
  <si>
    <t>2-2397180255</t>
  </si>
  <si>
    <t>Aktivasi Metro 1 Mbps Layanan Kemendag</t>
  </si>
  <si>
    <t>2-2391745201</t>
  </si>
  <si>
    <t>26/2/2025</t>
  </si>
  <si>
    <t>Permohonan Upgrade Astinet BKPM LT1 &amp; LT2</t>
  </si>
  <si>
    <t xml:space="preserve">P243549-01-00 </t>
  </si>
  <si>
    <t>00033/IN/INF25463/2025</t>
  </si>
  <si>
    <t>2-2364875735</t>
  </si>
  <si>
    <t>Permohonan Dismantle Masking Outbound Nomor Akses 1500630 Pusat Pasar Kerja Kemenaker RI</t>
  </si>
  <si>
    <t>2-2366637234</t>
  </si>
  <si>
    <t>Dismantle Nomor Akses Nomor Akses 167 Dewan Nasional Ekonomi Khusus</t>
  </si>
  <si>
    <t>00010/M/INF25372/2025 </t>
  </si>
  <si>
    <t>00039/IN/INF25463/2025</t>
  </si>
  <si>
    <t xml:space="preserve"> </t>
  </si>
  <si>
    <t>Permohonan Aktivasi 3 Mbps Layanan PKSS</t>
  </si>
  <si>
    <t xml:space="preserve">P253765-02-00 </t>
  </si>
  <si>
    <t>00038/IN/INF25463/2025</t>
  </si>
  <si>
    <t>2-2394732946</t>
  </si>
  <si>
    <t>36.66.30.9/29</t>
  </si>
  <si>
    <t xml:space="preserve">Permohonan Aktivasi 150399 &amp; Masking Outbond pkss </t>
  </si>
  <si>
    <t>00036/IN/INF25463/2025</t>
  </si>
  <si>
    <t>2-2394125393</t>
  </si>
  <si>
    <t>Aktivasi Nomor Akses 168 Dukcapil Kemendagri</t>
  </si>
  <si>
    <t>P253974-02-00</t>
  </si>
  <si>
    <t>00043/IN/INF25463/2025</t>
  </si>
  <si>
    <t>2-2397168575</t>
  </si>
  <si>
    <t>Dismantle Nomor Akses Nomor Akses 14009 dan Link Metro E 1 Mbps PT Bahana Sekuritas</t>
  </si>
  <si>
    <t>00007/M/INF2524/2025</t>
  </si>
  <si>
    <t>00046/IN/INF25463/2025</t>
  </si>
  <si>
    <t>2-2397164481</t>
  </si>
  <si>
    <t>2-2397165029</t>
  </si>
  <si>
    <t> PSB Link Internet Astinet 4 Mbps Layanan Call Center SPGDT Dinkes Bogor</t>
  </si>
  <si>
    <t>00048/M/INF25463/2025</t>
  </si>
  <si>
    <t>14/3/2025</t>
  </si>
  <si>
    <t>Aktivasi Nomor dan Masking Outbound Nomor Akses 150909 PT KCIC</t>
  </si>
  <si>
    <t xml:space="preserve">F254031-01-00 </t>
  </si>
  <si>
    <t>00051/IN/INF25463/2025</t>
  </si>
  <si>
    <t>16/3/2025</t>
  </si>
  <si>
    <t xml:space="preserve">Permohonan Upgrade Astinet &amp; Metro Erajaya </t>
  </si>
  <si>
    <t>PR/09193</t>
  </si>
  <si>
    <t>00053/M/INF25463/2025</t>
  </si>
  <si>
    <t> 2,327,200</t>
  </si>
  <si>
    <t> 1,258,200</t>
  </si>
  <si>
    <t>20/3/2025</t>
  </si>
  <si>
    <t>Upgrade Astinet Siloam Sriratu Semarang</t>
  </si>
  <si>
    <t>00055/IN/INF25463/2025</t>
  </si>
  <si>
    <t>Permohonan Perubahan Nomor Translasi Permanen 150280 Suiten</t>
  </si>
  <si>
    <t>Email PM(Bintang)</t>
  </si>
  <si>
    <t>00050/IN/INF25463/2025</t>
  </si>
  <si>
    <t>24/3/2025</t>
  </si>
  <si>
    <t>PSB Link Internet Astinet 5 Mbps Layanan Contact Center KEMENTERIAN HAK ASASI MANUSIA di Site Infomedia Tendean</t>
  </si>
  <si>
    <t>00059/IN/INF25463/2025</t>
  </si>
  <si>
    <t>Dismantle Astinet CORPTRAVEL MGT SSO TBB</t>
  </si>
  <si>
    <t>Rekon Efisiensi dengan IOC</t>
  </si>
  <si>
    <t>00085/IN/INF25463/2025</t>
  </si>
  <si>
    <t>Dismantle Astinet BPJS Kesehatan Sri Ratu Semarang</t>
  </si>
  <si>
    <t>Dismantle Astinet BNPB 117</t>
  </si>
  <si>
    <t>Dismantle Metro-e Layanan Pendukung Contact Center Pusdalops BNPB</t>
  </si>
  <si>
    <t>Dismantle Metro-e Layanan ICBC (Gajahmada - Tendean)</t>
  </si>
  <si>
    <t>Dismantle Metro-e Layanan ICBC (Gajahmada - Jatinegara)</t>
  </si>
  <si>
    <t>Dismantle Astinet APL</t>
  </si>
  <si>
    <t>Dismantle Astinet Pegadaian</t>
  </si>
  <si>
    <t>Dismantle Astinet Recruitment BI</t>
  </si>
  <si>
    <t>Dismantle SIP TRUNK CLOUD Layanan Infomedia (Sip Trunk Cloud  Jogyakarta)</t>
  </si>
  <si>
    <t>Dismantle Astinet Secure Messaging Mesiotda Kemendagri</t>
  </si>
  <si>
    <t>Dismantle Astinet CIMB NIAGA</t>
  </si>
  <si>
    <t>Dismantle Astinet Rumah Zakat Outbound Bandung</t>
  </si>
  <si>
    <t>Dismantle Metro-e IFG Life</t>
  </si>
  <si>
    <t>Dismantle Astinet Layanan Vaksin Sriratu</t>
  </si>
  <si>
    <t>Dismantle Metro-e infomedia TBB (Vaksin)</t>
  </si>
  <si>
    <t>Dismantle Astinet infomedia TBB (vaksin)</t>
  </si>
  <si>
    <t>Dismantle Metro-e layanan bpom 1500553</t>
  </si>
  <si>
    <t>Dismantle Metro-e layanan bssn</t>
  </si>
  <si>
    <t>Dismantle Astinet Dukcapil</t>
  </si>
  <si>
    <t>Dismantle Metro-e Indomarco tower ASG (Indomaret)</t>
  </si>
  <si>
    <t>Dismantle Indihome Telesurvey Samsung Happy Call</t>
  </si>
  <si>
    <t>Dismantle Indihome Manage Service Quality Control Bukalapak</t>
  </si>
  <si>
    <t>Dismantle Indihome BANK JATIM</t>
  </si>
  <si>
    <t>27/3/2025</t>
  </si>
  <si>
    <t>Permohonan Dismantle Link Metro E Interaktif 3 Mbps Project CC Prodia</t>
  </si>
  <si>
    <t>00013/M/INF25336/2025</t>
  </si>
  <si>
    <t>00063/IN/INF25463/2025</t>
  </si>
  <si>
    <t>PSB Link Metro E 4 Mbps layanan Direktorat Jenderal Bea dan Cukai</t>
  </si>
  <si>
    <t>00064/M/INF25463/2025</t>
  </si>
  <si>
    <t>Permohonan Aktivasi Nomor Akses &amp; Masking Outbond 1500179 BCA Syariah (Nomor Akses)</t>
  </si>
  <si>
    <t>00065/IN/INF25463/2025</t>
  </si>
  <si>
    <t>2-2404230306</t>
  </si>
  <si>
    <t>PENGADAAN NOMOR MASKING OUTGOING CALLS UNTUK BCA SYARIAH 1500179 (Masking)</t>
  </si>
  <si>
    <t>Permohonan Aktivasi Nomor Akses &amp; Masking Outbond 150145 Layanan Kemenham</t>
  </si>
  <si>
    <t>00067/IN/INF25463/2025</t>
  </si>
  <si>
    <t>2-2404330539</t>
  </si>
  <si>
    <t>Aktivasi Nomor Akses &amp; Masking Outbond 1500775 Layanan Asuransi Jiwa Sequis (Nomor Akses)</t>
  </si>
  <si>
    <t>00070/IN/INF25463/2025</t>
  </si>
  <si>
    <t>2-2406824317</t>
  </si>
  <si>
    <t>Aktivasi Nomor Akses &amp; Masking Outbond 1500775 Layanan Asuransi Jiwa Sequis (Masking)</t>
  </si>
  <si>
    <t>Permohonan Aktivasi Astinet 2 Mbps Layanan CC Metra</t>
  </si>
  <si>
    <t xml:space="preserve">P254006-02-00 </t>
  </si>
  <si>
    <t>00075/M/INF25463/2025</t>
  </si>
  <si>
    <t>2-2406869489</t>
  </si>
  <si>
    <t>14/4/2025</t>
  </si>
  <si>
    <t>PSB Link Internet Astinet 2 Mbps Layanan Call Center SPGDT 119 Kabupaten Lebak Banten</t>
  </si>
  <si>
    <t>P243637-01-00</t>
  </si>
  <si>
    <t>00074/IN/INF25463/2025</t>
  </si>
  <si>
    <t>2-2409728832</t>
  </si>
  <si>
    <t>15/4/2025</t>
  </si>
  <si>
    <t>Dismantle Link IndiHome Layanan Ecare &amp; CES Telkomsel</t>
  </si>
  <si>
    <t>00035/M/INF25321/2025</t>
  </si>
  <si>
    <t>00076/IN/INF25463/2025</t>
  </si>
  <si>
    <t>Dismantle Link Astinet 5 Mbps Layanan Ecare &amp; CES Telkomsel</t>
  </si>
  <si>
    <t>00077/IN/INF25463/2025</t>
  </si>
  <si>
    <t>2-2406055886</t>
  </si>
  <si>
    <t>Dismantle Infrastruktur dan Nomor Akses 1500774 Travel Management SSO</t>
  </si>
  <si>
    <t>00014/M/INF25354/2025</t>
  </si>
  <si>
    <t>00078/IN/INF25463/2025</t>
  </si>
  <si>
    <t> upgrade link layanan CIM telkomsel</t>
  </si>
  <si>
    <t>00083/M/INF25463/2025</t>
  </si>
  <si>
    <t>2-2326204761</t>
  </si>
  <si>
    <t>PSB Link Internet Indibiz 100 Mbps Layanan Invoice To Pay (I2P) Imprest Fund dan TAX Infraco Site Infomedia Tendean</t>
  </si>
  <si>
    <t>P243288-04-00</t>
  </si>
  <si>
    <t>00080/M/INF25463/2025</t>
  </si>
  <si>
    <t>16/4/2025</t>
  </si>
  <si>
    <t>Downgrade Link Metro E 5 Mbps menjadi 3 Mbps dan Upgrade Link Astinet 11 Mbps menjadi 20 Layanan BNI Sekuritas</t>
  </si>
  <si>
    <t> P253968-02-00</t>
  </si>
  <si>
    <t>00082/IN/INF25463/2025</t>
  </si>
  <si>
    <t>22/4/2025</t>
  </si>
  <si>
    <t>Aktivasi Masking Outbound Nomor Akses 1500708 dan PSB Astinet 4 Mbps PT Hyundai Finance (Nomor Akses)</t>
  </si>
  <si>
    <t>P254030-03-00</t>
  </si>
  <si>
    <t>00088/IN/INF25463/2025</t>
  </si>
  <si>
    <t>2-2409762275</t>
  </si>
  <si>
    <t>Aktivasi Masking Outbound Nomor Akses 1500708 dan PSB Astinet 4 Mbps PT Hyundai Finance (Masking)</t>
  </si>
  <si>
    <t>Aktivasi Masking Outbound Nomor Akses 1500708 dan PSB Astinet 4 Mbps PT Hyundai Finance (Astinet)</t>
  </si>
  <si>
    <t>2-2409783057</t>
  </si>
  <si>
    <t>PSB Link Internet Astinet 2 Mbps Layanan Call Center SPGDT Dinkes Blora</t>
  </si>
  <si>
    <t>P254115-01-00 </t>
  </si>
  <si>
    <t>00089/IN/INF25463/2025</t>
  </si>
  <si>
    <t>2-2409732531</t>
  </si>
  <si>
    <t>24/4/2025</t>
  </si>
  <si>
    <t>Permohonan aktivasi no akses 0800 1 500119 Layanan Telekonsultasi Jiwa</t>
  </si>
  <si>
    <t>2-2409701833</t>
  </si>
  <si>
    <t>25/4/2025</t>
  </si>
  <si>
    <t>Permohonan PSB Link Metro E 3 Mbps layanan PT. Astra Graphia</t>
  </si>
  <si>
    <t>P254046-02-00</t>
  </si>
  <si>
    <t>00099/IN/INF25463/2025</t>
  </si>
  <si>
    <t>2-2431425628</t>
  </si>
  <si>
    <t>Permohonan Aktivasi Nomor Akses 1500995 Layanan RSUD Sutomo</t>
  </si>
  <si>
    <t>00097/IN/INF25463/2025</t>
  </si>
  <si>
    <t>2-2410737241</t>
  </si>
  <si>
    <t>29/4/2025</t>
  </si>
  <si>
    <t>Permohonan PSB Link Metro E Interaktif 2 Mbps layanan PT Yamaha Indonesia Motor Manufacturing</t>
  </si>
  <si>
    <t>00103/IN/INF25463/2025</t>
  </si>
  <si>
    <t>2-2431399346</t>
  </si>
  <si>
    <t>30/4/2025</t>
  </si>
  <si>
    <t>Permohonan Dismantle Nomor Akses 1500801 PT AMAAN Indonesia Sejahtera</t>
  </si>
  <si>
    <t>00107/IN/INF25463/2025</t>
  </si>
  <si>
    <t>Permohonan Dismentle Link Astinet &amp; Metro &amp; Indihome Layanan Infomedia Cimb Niaga</t>
  </si>
  <si>
    <t>00087/IN/INF25463/2025</t>
  </si>
  <si>
    <t xml:space="preserve">Rumah Zakat Outbound </t>
  </si>
  <si>
    <t>IFG Life</t>
  </si>
  <si>
    <t>Layanan Vaksin Sriratu</t>
  </si>
  <si>
    <t>infomedia TBB (Vaksin)</t>
  </si>
  <si>
    <t>infomedia TBB (vaksin)</t>
  </si>
  <si>
    <t>layanan bpom 1500553</t>
  </si>
  <si>
    <t>layanan bssn</t>
  </si>
  <si>
    <t>DUKCAPIL</t>
  </si>
  <si>
    <t>Indomarco tower ASG (Indomaret)</t>
  </si>
  <si>
    <t>IO Telesurvey Samsung Happy Call</t>
  </si>
  <si>
    <t>IO Manage Service Quality Control Bukalapak</t>
  </si>
  <si>
    <t>IO BANK JATIM</t>
  </si>
  <si>
    <t>Aktivasi Metro 1 Mbps Layanan BCP Allianz</t>
  </si>
  <si>
    <t>P243086-02-00 </t>
  </si>
  <si>
    <t>00108/IN/INF25463/2025</t>
  </si>
  <si>
    <t>Permohonan Aktivasi Metro 30 Mbps Layanan DRC BRI Life</t>
  </si>
  <si>
    <t>2-2433293929</t>
  </si>
  <si>
    <t>Permohonan Aktivasi Astinet 5 Mbps Layanan Bank SulutGo</t>
  </si>
  <si>
    <t>2-2433307081</t>
  </si>
  <si>
    <t>Permohonan Link Internet Astinet 1 Mbps Layanan Call Center SPGDT 119 Dinkes Kota Padang Panjang TA 2025</t>
  </si>
  <si>
    <t>00058/M/INF25333/2025</t>
  </si>
  <si>
    <t>00109/M/INF25463/2025</t>
  </si>
  <si>
    <t>Permohonan Downgrade Internet Linknet Graha Intan Jogja</t>
  </si>
  <si>
    <t>Layanan Sudah Churn</t>
  </si>
  <si>
    <t>00113/M/INF25463/2025</t>
  </si>
  <si>
    <t>Permohonan Upgrade Astinet Grha Intan Untuk Project Aladin 2025</t>
  </si>
  <si>
    <t> P254033-01-00</t>
  </si>
  <si>
    <t>00115/M/INF25463/2025</t>
  </si>
  <si>
    <t>15/5/2025</t>
  </si>
  <si>
    <t>Permohonan Upgrade Astinet Layanan Erajaya</t>
  </si>
  <si>
    <t>PR/09743</t>
  </si>
  <si>
    <t>00117/M/INF25463/2025</t>
  </si>
  <si>
    <t>Permohonan Dismantle Nomor Akses 1500717 PT Bank Rakyat Indonesia</t>
  </si>
  <si>
    <t>00015/M/INF25372/2025 </t>
  </si>
  <si>
    <t>00118/IN/INF25463/2025</t>
  </si>
  <si>
    <t>Permohonan Dismantle Nomor Akses 1500502 dan Infrastruktur PT Sahabat Prima Abadi</t>
  </si>
  <si>
    <t>00016/M/INF25372/2025 </t>
  </si>
  <si>
    <t>00119/IN/INF25463/2025</t>
  </si>
  <si>
    <t>Permohonan Aktivasi Astinet Grha Intan Untuk Project Aladin Sosmed</t>
  </si>
  <si>
    <t>2-2442732149</t>
  </si>
  <si>
    <t>22/5/2025</t>
  </si>
  <si>
    <t xml:space="preserve">Permohonan Dismentle Astinet Siloam BSD </t>
  </si>
  <si>
    <t>00005/M/INF25231/2025</t>
  </si>
  <si>
    <t>00121/IN/INF25463/2025</t>
  </si>
  <si>
    <t>Permohonan Dismentle Astinet Siloam Bandung</t>
  </si>
  <si>
    <t>Permohonan Dismentle Metro Siloam Bandung</t>
  </si>
  <si>
    <t>Permohonan Upgrade Paket Internet Icon+ Layanan Kalbe</t>
  </si>
  <si>
    <t>PR/09917</t>
  </si>
  <si>
    <t>00122/M/INF25463/2025</t>
  </si>
  <si>
    <t>Permohonan Aktivasi link Leased Line 1 Mbps Jasaraharja Icon+</t>
  </si>
  <si>
    <t>kendala DWS tidak bisa provide link</t>
  </si>
  <si>
    <t xml:space="preserve">
00123/M/INF25463/2025</t>
  </si>
  <si>
    <t>27/5/2025</t>
  </si>
  <si>
    <t>Permohonan Dismantle Nomor Akses 1500460 PT MAJOO TEKNOLOGI INDONESIA</t>
  </si>
  <si>
    <t>00019/M/INF25372/2025</t>
  </si>
  <si>
    <t>00125/IN/INF25463/2025</t>
  </si>
  <si>
    <t>Permohonan Dismantle Nomor Akses 168 dan 1500537 layanan CC Dukcapil</t>
  </si>
  <si>
    <t>00029/M/INF25334/2025</t>
  </si>
  <si>
    <t>00126/IN/INF25463/2025</t>
  </si>
  <si>
    <t>28/5/2025</t>
  </si>
  <si>
    <t>Permohonan Aktivasi Metro Ethernet BCP Layanan BSI</t>
  </si>
  <si>
    <t>133/IN/PERJ/LEGL-CORP/2024</t>
  </si>
  <si>
    <t>00129/M/INF25463/2025</t>
  </si>
  <si>
    <t>Permohonan Aktivasi Internet Astinet 2 Mbps Layanan Call Center SPGDT 119 Dinas Kesehatan Kota Pasuruan</t>
  </si>
  <si>
    <t>P254025-02-00 </t>
  </si>
  <si>
    <t>00131/M/INF25463/2025</t>
  </si>
  <si>
    <t>Permohonan sip trunk baru dan blok number baru di dc kebalen</t>
  </si>
  <si>
    <t>No PR/10011-1</t>
  </si>
  <si>
    <t>00132/M/INF25463/2025</t>
  </si>
  <si>
    <t>Permohonan Upgrade Astinet 4 Mbps menjadi 10 Mbps Layanan Kemenkes Satu Sehat Site Infomedia Sri Ratu Semarang</t>
  </si>
  <si>
    <t>00133/M/INF25463/2025</t>
  </si>
  <si>
    <t>Permohonan Aktivasi Nomor Akses 1500338 dan PSB Astinet 5 Mbps Layanan Call Center UNIFAM</t>
  </si>
  <si>
    <t> P254135-03-00</t>
  </si>
  <si>
    <t>00135/M/INF25463/2025</t>
  </si>
  <si>
    <t>Permohonan Aktivasi Astinet 10 Mbps Kejagung Via SP</t>
  </si>
  <si>
    <t>00136/M/INF25463/2025</t>
  </si>
  <si>
    <t>Permohonan Dismentle Link Metro  Layanan Siloam bsd</t>
  </si>
  <si>
    <t xml:space="preserve">
00134/M/INF25463/2025</t>
  </si>
  <si>
    <t>Permohonan Dismentle Link Indihome Layanan Siloam bsd</t>
  </si>
  <si>
    <t xml:space="preserve">Permohonan Novasi Perubahan Nomor Billing Translasi dan Channel Berlangganan 150227
</t>
  </si>
  <si>
    <t>00137/M/INF25463/2025</t>
  </si>
  <si>
    <t>Permohonan Aktivasi Astinet 10 Mbps Layanan Kejagung</t>
  </si>
  <si>
    <t>PR/10028</t>
  </si>
  <si>
    <t>Permohonan Aktivasi nomor Akses 0804-1-401108 Pelita Air</t>
  </si>
  <si>
    <t>00141/M/INF25463/2025</t>
  </si>
  <si>
    <t>Permohonan Aktivasi Internet Lintas Artha 10 Mbps Layanan Contact Center LKPP</t>
  </si>
  <si>
    <t>00142/M/INF25463/2025</t>
  </si>
  <si>
    <t>16/6/2025</t>
  </si>
  <si>
    <t>Permohonan Dismantle Nomor Akses 1500928 dan Infrastruktur CC Kemenpora</t>
  </si>
  <si>
    <t>00036/M/INF25334/2025</t>
  </si>
  <si>
    <t>00148/IN/INF25463/2025</t>
  </si>
  <si>
    <t>Permohonan Upgrade Astinet 5 Mbps sunlife</t>
  </si>
  <si>
    <t>00149/M/INF25463/2025</t>
  </si>
  <si>
    <t>Novasi 1500786 Layanan Sunlife Indonesia</t>
  </si>
  <si>
    <t>18/6/2025</t>
  </si>
  <si>
    <t xml:space="preserve">
Permohonan Dismantle Nomor Akses 1500227 dan Infrastruktur CC Adhi Karya</t>
  </si>
  <si>
    <t>00031/M/INF2524/2025</t>
  </si>
  <si>
    <t>00150/IN/INF25463/2025</t>
  </si>
  <si>
    <t>Permohonan Aktivasi Nomor Akses 1500765 Layanan Bumi Serpong Damai Tbk (Sinarmasland)</t>
  </si>
  <si>
    <t>00152/M/INF25463/2025</t>
  </si>
  <si>
    <t>20/6/2025</t>
  </si>
  <si>
    <t>133/IN/PERJ/LEGL-CORP/2024 </t>
  </si>
  <si>
    <t>00156/M/INF25463/2025</t>
  </si>
  <si>
    <t xml:space="preserve">
6,050,000</t>
  </si>
  <si>
    <t>23/6/2025</t>
  </si>
  <si>
    <t xml:space="preserve">Permohonan Link Internet Astinet 1 Mbps Layanan Call Center SPGDT 119 Dinkes Kota Solok Tahun 2025
</t>
  </si>
  <si>
    <t>00078/M/INF25333/2025 </t>
  </si>
  <si>
    <t>00158/M/INF25463/2025</t>
  </si>
  <si>
    <t>Permohonan Novasi Perubahan Nomor Billing &amp; Translasi 1500653 PT Onda Mega Integra</t>
  </si>
  <si>
    <t>P253950-03-00 </t>
  </si>
  <si>
    <t>00159/M/INF25463/2025</t>
  </si>
  <si>
    <t>25/6/2025</t>
  </si>
  <si>
    <t>Permohonan Deaktivasi Internet Icon Layanan Kalbe</t>
  </si>
  <si>
    <t>00022/M/INF2523/2025 </t>
  </si>
  <si>
    <t>00162/M/INF25463/2025</t>
  </si>
  <si>
    <t>30/6/2025</t>
  </si>
  <si>
    <t>Permohonan Aktivasi Astinet 2 Mbps Layanan Asuransi Bintang</t>
  </si>
  <si>
    <t>P254113-03-00 </t>
  </si>
  <si>
    <t>00164/M/INF25463/2025</t>
  </si>
  <si>
    <t>2-2479843255</t>
  </si>
  <si>
    <t>Permohonan Novasi (Perubahan Nomor Translasi Nomor Billing dan Channel Berlangganan) Nomor Akses 1500206 PT Yamaha Indonesia Motor Manufacturing</t>
  </si>
  <si>
    <t>00165/IN/INF25463/2025</t>
  </si>
  <si>
    <t>Permohonan Aktivasi Nomor Akses 150212 dan PSB Astinet 20 Mbps Layanan Call Center Kota Jayapura</t>
  </si>
  <si>
    <t>00166/M/INF25463/2025</t>
  </si>
  <si>
    <t>Permohonan Novasi Perubahan Nomor Billing Translasi 1500653 PT Onda Mega Integra</t>
  </si>
  <si>
    <t>00167/IN/INF25463/2025</t>
  </si>
  <si>
    <t>00169/M/INF25463/2025</t>
  </si>
  <si>
    <t>Permohonan Aktivasi Masking Outbond Layanan Sompo 1500985</t>
  </si>
  <si>
    <t>00168/M/INF25463/2025</t>
  </si>
  <si>
    <t>Permohonan Aktivasi Astinet 5 Mbps Layanan Sunlife Indonesia 1500786</t>
  </si>
  <si>
    <t>00172/M/INF25463/2025</t>
  </si>
  <si>
    <t>2-2475950616</t>
  </si>
  <si>
    <t>Permohonan aktivasi sip trunk dan no akses 0800 1503310 Layanan Metra</t>
  </si>
  <si>
    <t>00174/M/INF25463/2025</t>
  </si>
  <si>
    <t xml:space="preserve">
Permohonan aktivasi nomor akses 150212 via Telkomsel</t>
  </si>
  <si>
    <t xml:space="preserve">
00175/M/INF25463/2025</t>
  </si>
  <si>
    <t>Permohonan Dismentle Link Metro Layanan Peruri</t>
  </si>
  <si>
    <t>Layanan Churn</t>
  </si>
  <si>
    <t>00179/IN/INF25463/2025</t>
  </si>
  <si>
    <t>Permohonan PSB Link Indibiz 50 Mbps Layanan SPGDT Kabupaten Lebak Banten</t>
  </si>
  <si>
    <t>P243637-01-0</t>
  </si>
  <si>
    <t>00180/M/INF25463/2025</t>
  </si>
  <si>
    <t>Permohonan Dismentle Metro Layanan ChubbLife Insurance</t>
  </si>
  <si>
    <t>Tidak ada kesepakatan terkait Crossconnect di DCI</t>
  </si>
  <si>
    <t>00181/IN/INF25463/2025</t>
  </si>
  <si>
    <t>Permohonan Dismentle Nomor Akses 1500852 Layanan ChubbLife Insurance</t>
  </si>
  <si>
    <t>3/ITD/CLI-07-2025</t>
  </si>
  <si>
    <t>00183/IN/INF25463/2025</t>
  </si>
  <si>
    <t>Revisi Permohonan aktivasi nomor akses 150212 layanan Pemkot Jayapura via Telkomsel</t>
  </si>
  <si>
    <t>P254339-01-00 </t>
  </si>
  <si>
    <t>00184/M/INF25463/2025</t>
  </si>
  <si>
    <t>Permohonan Aktivasi Nomor Akses 1500338 Layanan Call Center UNIFAM Provider Indosat</t>
  </si>
  <si>
    <t>P254135-03-00</t>
  </si>
  <si>
    <t>00187/M/INF25463/2025</t>
  </si>
  <si>
    <t xml:space="preserve">
Permohonan Aktivasi Nomor Akses 150212 Pemerintah Kota Jayapura Provider Indosat</t>
  </si>
  <si>
    <t>00188/M/INF25463/2025</t>
  </si>
  <si>
    <t>Permohonan Aktivasi nomor Akses Direct Connection 1500765 BSD via Telkomsel Indosat &amp; XL</t>
  </si>
  <si>
    <t>00189/M/INF25463/2025</t>
  </si>
  <si>
    <t>00192/M/INF25463/2025</t>
  </si>
  <si>
    <t>Permohonan Aktivasi Nomor Akses 150372 Contact Center Xpeng Indonesia via Indosat</t>
  </si>
  <si>
    <t>00190/M/INF25463/2025</t>
  </si>
  <si>
    <t>15/7/2025</t>
  </si>
  <si>
    <t>Revisi Permohonan PSB Link Internet Indibiz 100 Mbps Layanan Invoice To Pay (I2P) Imprest Fund dan TAX Infraco Site Infomedia Tendean</t>
  </si>
  <si>
    <t>00193/M/INF25463/2025</t>
  </si>
  <si>
    <t>16/7/2025</t>
  </si>
  <si>
    <t>Permohonan Dismentle Link Metro &amp; Indihome Layanan Siloam</t>
  </si>
  <si>
    <t>Layanan Siloam yang sudah Relokasi ke Jogja</t>
  </si>
  <si>
    <t>00194/IN/INF25463/2025</t>
  </si>
  <si>
    <t>Permohonan Perubahan Nomor Masking Outbound Nomor Akses 1500017 BRI</t>
  </si>
  <si>
    <t>00019/M/INF25241/2025</t>
  </si>
  <si>
    <t>00195/IN/INF25463/2025</t>
  </si>
  <si>
    <t>17/7/2025</t>
  </si>
  <si>
    <t>Permohonan Perpanjangan Infrastruktur Layanan DOM Telkomsel Site Infomedia Tendean</t>
  </si>
  <si>
    <t>00198/M/INF25463/2025</t>
  </si>
  <si>
    <t xml:space="preserve">Rev Permohonan Aktivasi Nomor Akses 1500765 Layanan Bumi Serpong Damai Tbk (Sinarmasland)
</t>
  </si>
  <si>
    <t>P254089-02-00 </t>
  </si>
  <si>
    <t>00199/M/INF25463/2025</t>
  </si>
  <si>
    <t>18/7/2025</t>
  </si>
  <si>
    <t>Permohonan Masking Outbound dan PSB Infrastruktur Nomor Akses 1500940 PT Axa Financial Indonesia</t>
  </si>
  <si>
    <t>00200/M/INF25463/2025</t>
  </si>
  <si>
    <t>21/7/2025</t>
  </si>
  <si>
    <t>Permohonan Link Indibiz 100 Mbps Layanan CC UNIFAM Site Infomedia TBB</t>
  </si>
  <si>
    <t>00202/M/INF25463/2025</t>
  </si>
  <si>
    <t>Permohonan Dismantle Nomor Akses 1500749 PT REKSA TRANSAKSI SUKSES MAKMUR</t>
  </si>
  <si>
    <t>00033/M/INF25372/2025</t>
  </si>
  <si>
    <t>00204/IN/INF25463/2025</t>
  </si>
  <si>
    <t>22/7/2025</t>
  </si>
  <si>
    <t>Permohonan PSB Link Internet Astinet Lite 10 Mbps Layanan Meterai Elektronik Perum Peruri (Telkom DES)</t>
  </si>
  <si>
    <t>00206/M/INF25463/2025</t>
  </si>
  <si>
    <t>Permohonan Downgrade Astinet Layanan BKPM</t>
  </si>
  <si>
    <t>Permintaan dari OPS</t>
  </si>
  <si>
    <t>00227/IN/INF25463/2025</t>
  </si>
  <si>
    <t>Permohonan Aktivasi Masking Outbond Layanan Skorlife 1500054</t>
  </si>
  <si>
    <t>00229/M/INF25463/2025</t>
  </si>
  <si>
    <t> 31 Juli 2026</t>
  </si>
  <si>
    <t>Permohonan PSB Link Indibiz 50 Mbps Layanan Call Center Dinkes 119 Kabupaten Lebak Banten (Witel Area)</t>
  </si>
  <si>
    <t xml:space="preserve">
00231/M/INF25463/2025</t>
  </si>
  <si>
    <t xml:space="preserve">387,000
</t>
  </si>
  <si>
    <t>Permohonan Perubahan Administrasi Kepemilikan SIP Trunk Nomor Akses 1500327 PT Bank DBS Indonesia dari Telkom DPS Ke Infomedia Via Telkom DWS</t>
  </si>
  <si>
    <t>P253923-05-00 </t>
  </si>
  <si>
    <t>00232/M/INF25463/2025</t>
  </si>
  <si>
    <t>Revisi Permohonan PSB Infrastruktur Nomor Akses 1500940 PT Axa Financial Indonesia</t>
  </si>
  <si>
    <t>P254205-04-00</t>
  </si>
  <si>
    <t>00233/M/INF25463/2025</t>
  </si>
  <si>
    <t>Permohonan Novasi Perubahan Nomor Billing Translasi 1500481 Asuransi Bintang</t>
  </si>
  <si>
    <t>00235/IN/INF25463/2025</t>
  </si>
  <si>
    <t>Permohonan Dismantle Nomor Akses 1500309 PT JACCS Mitra Pinasthika Mustika Finance Indonesia</t>
  </si>
  <si>
    <t> 00035/M/INF25372/2025</t>
  </si>
  <si>
    <t>00236/IN/INF25463/2025</t>
  </si>
  <si>
    <t>Permohonan Dismantle Internet Indihome dan Nomor PSTN Layanan Infomedia</t>
  </si>
  <si>
    <t>Rekon IT Dev </t>
  </si>
  <si>
    <t>00239/IN/INF25463/2025</t>
  </si>
  <si>
    <t>Permohonan Dismantle Nomor PSTN Layanan Infomedia</t>
  </si>
  <si>
    <t>13/8/2025</t>
  </si>
  <si>
    <t>Permohonan Dismantle Nomor Akses 1500411 Perumda Air Minum Makassar</t>
  </si>
  <si>
    <t>00113/M/INF25333/2025</t>
  </si>
  <si>
    <t>00240/IN/INF25463/2025</t>
  </si>
  <si>
    <t>Permohonan Dismantle Astinet 5 Mbps Layanan SPGDT 119 Jeneponto</t>
  </si>
  <si>
    <t>00242/IN/INF25463/2025</t>
  </si>
  <si>
    <t>00241/IN/INF25463/2025</t>
  </si>
  <si>
    <t xml:space="preserve">
Permohonan Dismantle Nomor Akses 1500517 PT DINAMIKA ALAM SEJAHTERA</t>
  </si>
  <si>
    <t>00036/M/INF25372/2025 P</t>
  </si>
  <si>
    <t>3700038-0031874741</t>
  </si>
  <si>
    <t>14/8/2025</t>
  </si>
  <si>
    <t>Permohonan Aktivasi Masking Outbond Layanan 1500555 Mandiri</t>
  </si>
  <si>
    <t>00243/M/INF25463/2025</t>
  </si>
  <si>
    <t>Permohonan Aktivasi  Metro Layanan 1500555 Mandiri</t>
  </si>
  <si>
    <t>15/8/2025</t>
  </si>
  <si>
    <t>Permohonan Upgrade Link Astinet 2 Mbps Menjadi 10 Mbps Layanan Jasamarga</t>
  </si>
  <si>
    <t>00134/M/INF25331/2025 </t>
  </si>
  <si>
    <t>00247/M/INF25463/2025</t>
  </si>
  <si>
    <t>19/8/2025</t>
  </si>
  <si>
    <t>Permohonan Aktivasi Indibiz layanan Jakarta Eye Center</t>
  </si>
  <si>
    <t>00249/M/INF25463/2025</t>
  </si>
  <si>
    <t>Permohonan Masking Outbound Nomor Akses 1500960 PT TP-Link</t>
  </si>
  <si>
    <t>00251/M/INF25463/2025</t>
  </si>
  <si>
    <t>2-2515181716</t>
  </si>
  <si>
    <t xml:space="preserve">Permohonan Aktivasi Nomor Akses 1500559 Layanan JEC </t>
  </si>
  <si>
    <t>00252/M/INF25463/2025</t>
  </si>
  <si>
    <t>2.500.000</t>
  </si>
  <si>
    <t xml:space="preserve">Permohonan Aktivasi Masking Outbound 1500559 Layanan JEC </t>
  </si>
  <si>
    <t>21/8/2025</t>
  </si>
  <si>
    <t>Permohonan PSB Infrastruktur Jaringan 152 lokasi SPGDT Call Center 119 TA 2025</t>
  </si>
  <si>
    <t>00254/M/INF25463/2025</t>
  </si>
  <si>
    <t>Permohonan PSB Link Internet Astinet 10 Mbps Layanan Call Center SPGDT 119 Dinas Kesehatan Kota Bandung</t>
  </si>
  <si>
    <t>00257/M/INF25463/2025</t>
  </si>
  <si>
    <t>25/8/2025</t>
  </si>
  <si>
    <t>Permohonan perpanjangan link metro p2p main dan backup layanan bcc surabaya</t>
  </si>
  <si>
    <t>00258/M/INF25463/2025</t>
  </si>
  <si>
    <t>Permohonan perpanjangan link backup layanan bcc surabaya</t>
  </si>
  <si>
    <t xml:space="preserve">
 1707400849</t>
  </si>
  <si>
    <t>Permohonan PSB Link Internet Astinet 10 Mbps Layanan Contact Center Bank Sulselbar</t>
  </si>
  <si>
    <t>00259/M/INF25463/2025</t>
  </si>
  <si>
    <t>26/8/2025</t>
  </si>
  <si>
    <t>Permohonan aktivasi link metro p2p 4 Mbps Fiberstar layanan allianz sriratu bcp majapahit</t>
  </si>
  <si>
    <t>00262/M/INF25463/2025</t>
  </si>
  <si>
    <t>29/8/2025</t>
  </si>
  <si>
    <t>Permohonan Aktivasi Masking Outbond Layanan 1500037 PT Asuransi Generali</t>
  </si>
  <si>
    <t>Request user</t>
  </si>
  <si>
    <t>00263/M/INF25463/2025</t>
  </si>
  <si>
    <t>Permohonan PSB Metro Icon Layanan Call Center BSI Semarang</t>
  </si>
  <si>
    <t>00140/M/INF25345/2025</t>
  </si>
  <si>
    <t>00266/M/INF25463/2025</t>
  </si>
  <si>
    <t>Permohonan PSB Metro DWS Layanan Call Center BSI Semarang</t>
  </si>
  <si>
    <t>Permohonan PSB Astinet DWS Layanan Call Center BSI Semarang</t>
  </si>
  <si>
    <t>2-2516242153</t>
  </si>
  <si>
    <t>Permohonan Upgrade Link Metro E layanan Bank Syariah Indonesia Site Graha Inti Fauzi</t>
  </si>
  <si>
    <t>00268/IN/INF25463/2025</t>
  </si>
  <si>
    <t>Permohonan Aktivasi Astinet Layanan Dominos Tendean</t>
  </si>
  <si>
    <t>00270/M/INF25463/2025</t>
  </si>
  <si>
    <t>2-2519530139</t>
  </si>
  <si>
    <t>Permohonan Aktivasi Nomor Akses 1500909 Layanan Skorcard</t>
  </si>
  <si>
    <t>00272/M/INF25463/2025</t>
  </si>
  <si>
    <t>Permohonan Upgrade Link Astinet 10 Mbps menjadi 30 Mbps Layanan BJB Site Infomedia TBB</t>
  </si>
  <si>
    <t>00273/M/INF25463/2025</t>
  </si>
  <si>
    <t>Permohonan Relokasi Link Icon+ BSI Sriratu Peterongan</t>
  </si>
  <si>
    <t>00514/IN/INF2540132/2025</t>
  </si>
  <si>
    <t>00276/M/INF25463/2025</t>
  </si>
  <si>
    <t>Permohonan Aktivasi Nomor Akses dan Masking Outbound Nomor Akses 1500870 Nasabah Prioritas BRI Life</t>
  </si>
  <si>
    <t>P254448-01-00 </t>
  </si>
  <si>
    <t>00277/M/INF25463/2025</t>
  </si>
  <si>
    <t>Permohonan Aktivasi Masking Outbound Nomor Akses 1500870 Nasabah Prioritas BRI Life</t>
  </si>
  <si>
    <t>Permohonan PSB Astinet DWS  Layanan Call Center 135 Pertamina</t>
  </si>
  <si>
    <t>00278/M/INF25463/2025</t>
  </si>
  <si>
    <t>2-2522537970</t>
  </si>
  <si>
    <t>Permohonan PSB Internet Fiberstar  Layanan Call Center 135 Pertamina</t>
  </si>
  <si>
    <t>Permohonan Aktivasi Nomor Akses 1500404 RS Mulya Medika (PT Mira Mulya Abadi Medical)</t>
  </si>
  <si>
    <t>00279/M/INF25463/2025</t>
  </si>
  <si>
    <t>Permohonan Aktivasi Astinet Layanan Contact Center Citilink Indonesia</t>
  </si>
  <si>
    <t>00280/M/INF25463/2025</t>
  </si>
  <si>
    <t>Permohonan Aktivasi Nomor Akses 1500031 Layanan Call Center Disdukcapil Pemprov DKI Jakarta</t>
  </si>
  <si>
    <t>00281/M/INF25463/2025</t>
  </si>
  <si>
    <t>Permohonan PSB Link Metro E Interaktif 10 Mbps Layanan Call Center Disdukcapil Pemprov DKI Jakarta</t>
  </si>
  <si>
    <t>15/9/2025</t>
  </si>
  <si>
    <t>Permohonan Dismantle Nomor Akses 1500190 Bank Yudha Bhakti (BNC)</t>
  </si>
  <si>
    <t>00017/M/INF25231/2025</t>
  </si>
  <si>
    <t>00282/IN/INF25463/2025</t>
  </si>
  <si>
    <t>Permohonan Dismantle Nomor Akses 1500579 PT Asuransi Maximus Graha Persada Tbk</t>
  </si>
  <si>
    <t>00016/M/INF25231/2025</t>
  </si>
  <si>
    <t>00283/IN/INF25463/2025</t>
  </si>
  <si>
    <t>Permohonan Dismantle PSTN dan Indihome Layanan Tunas Toyota Ridean</t>
  </si>
  <si>
    <t>Layanan Infomedia yang sudah Churn</t>
  </si>
  <si>
    <t>00284/IN/INF25463/2025</t>
  </si>
  <si>
    <t>16/9/2025</t>
  </si>
  <si>
    <t>Permohonan Perpanjangan Link Astinet 20 Mbps Layanan Perhutani di DC Jatinegara</t>
  </si>
  <si>
    <t>P243229-02-00</t>
  </si>
  <si>
    <t>00286/M/INF25463/2025</t>
  </si>
  <si>
    <t>Permohonan Dismantle Link Astinet 2 Mbps Layanan Dominos Site Infomedia Tendean</t>
  </si>
  <si>
    <t>00152/M/INF25342/2025</t>
  </si>
  <si>
    <t>00287/IN/INF25463/2025</t>
  </si>
  <si>
    <t>19/9/2025</t>
  </si>
  <si>
    <t>Permohonan PSB Link Astinet 10 Mbps Layanan Jasamarga (Telkom DWS)</t>
  </si>
  <si>
    <t>P254578-00-00 </t>
  </si>
  <si>
    <t>00290/M/INF25463/2025</t>
  </si>
  <si>
    <t>29/9/2025</t>
  </si>
  <si>
    <t>Permohonan Penambahan Bandwidth Astinet Layanan Contact Center Prodia Bandung</t>
  </si>
  <si>
    <t>PR/10665-3</t>
  </si>
  <si>
    <t>30/9/2025</t>
  </si>
  <si>
    <t>Permohonan PSB  Internet Layanan Call Center 135 Pertamina (Lintas Artha)</t>
  </si>
  <si>
    <t>P254398-03-00 </t>
  </si>
  <si>
    <t>00295/M/INF25463/2025</t>
  </si>
  <si>
    <t>Permohonan Upgrade Link Astinet 20 Mbps menjadi 30 Mbps Contact Center Kemendiktisaintek</t>
  </si>
  <si>
    <t>00037/M/INF2525/2025</t>
  </si>
  <si>
    <t>00298/M/INF25463/2025</t>
  </si>
  <si>
    <t>Permohonan Dismantle No Akses 1500444 CALL CENTER DISKOMINFO BEKASI</t>
  </si>
  <si>
    <t>00040/M/INF25372/2025</t>
  </si>
  <si>
    <t>00300/IN/INF25463/2025</t>
  </si>
  <si>
    <r>
      <rPr>
        <sz val="11"/>
        <color rgb="FF000000"/>
        <rFont val="Calibri"/>
      </rPr>
      <t>AO:  </t>
    </r>
    <r>
      <rPr>
        <sz val="11"/>
        <color rgb="FF242424"/>
        <rFont val="Calibri"/>
      </rPr>
      <t>7000187395</t>
    </r>
    <r>
      <rPr>
        <sz val="11"/>
        <color rgb="FF000000"/>
        <rFont val="Calibri"/>
      </rPr>
      <t> </t>
    </r>
  </si>
  <si>
    <t> 3700038-0030955285</t>
  </si>
  <si>
    <t>Permohonan aktivasi power rack redundant dan kabel crossconnect di rack neucentrix kebalen</t>
  </si>
  <si>
    <t>Meeting dengan Telkom</t>
  </si>
  <si>
    <t>00301/IN/INF25463/2025</t>
  </si>
  <si>
    <t>Permohonan aktivasi psb link astinet mix bw 5 mbps Dc Neucentrix Kebalen</t>
  </si>
  <si>
    <t>00302/IN/INF25463/2025</t>
  </si>
  <si>
    <t>Perpanjangan Metro BSI GIF to DC JTN</t>
  </si>
  <si>
    <t xml:space="preserve">
00303/M/INF25463/2025</t>
  </si>
  <si>
    <t>Upgrade Internet (Astinet) BSI GIF</t>
  </si>
  <si>
    <t>Upgrade Metro BSI Tentara Pelajar to DC JTN</t>
  </si>
  <si>
    <t>Aktivasi SIP TRUNK BARU DC Kebalen</t>
  </si>
  <si>
    <t>Permohonan Perpanjangan Link BSI (Telkom DES)</t>
  </si>
  <si>
    <t>00304/M/INF25463/2025</t>
  </si>
  <si>
    <t>Permohonan Dismantle Astinet layanan BSI Sri Ratu Semarang</t>
  </si>
  <si>
    <t>00153/M/INF25345/2025</t>
  </si>
  <si>
    <t>00305/M/INF25463/2025</t>
  </si>
  <si>
    <t>Permohonan Dismantle Metro E layanan BSI Sri Ratu Semarang</t>
  </si>
  <si>
    <t>Permohonan Pemindahan SIP Trunk PT Murni Solusindo Nusantara</t>
  </si>
  <si>
    <t>Permintaan User</t>
  </si>
  <si>
    <t>00306/IN/INF25463/2025</t>
  </si>
  <si>
    <t>Permohonan Aktivasi Masking Outbond Layanan Jalin 1500955</t>
  </si>
  <si>
    <t>00309/M/INF25463/2025</t>
  </si>
  <si>
    <t>Permohonan Aktivasi Astinet Layanan Customer Service Virtual (V-Serve)</t>
  </si>
  <si>
    <t>00310/M/INF25463/2025</t>
  </si>
  <si>
    <t>Permohonan PSB Link Metro E P2P 4 Mbps Layanan Allianz Infomedia Sriratu BCP Infomedia Majapahit</t>
  </si>
  <si>
    <t>00314/M/INF25463/2025</t>
  </si>
  <si>
    <t>Permohonan Aktivasi Nomor Akses 112 Kab Gianyar Bali</t>
  </si>
  <si>
    <t> B-984/DJID.5/PI.04.04/09/2025 </t>
  </si>
  <si>
    <t>00317/IN/INF25463/2025</t>
  </si>
  <si>
    <t>Permohonan Masking Outbound Nomor Akses 1500138 CC Bank Papua</t>
  </si>
  <si>
    <t>00318/M/INF25463/2025</t>
  </si>
  <si>
    <t>Permohonan PSB Link Astinet 5 Mbps CC Bank Papua (Witel)</t>
  </si>
  <si>
    <t>Permohonan Aktivasi Nomor Akses Nomor Akses 1500272 Omarco Edusav</t>
  </si>
  <si>
    <t>00319/M/INF25463/2025</t>
  </si>
  <si>
    <t>Permohonan Aktivasi Masking Outbound Nomor Akses 1500272 Omarco Edusav</t>
  </si>
  <si>
    <t>Permohonan Perpanjangan Nomor Akses 1500511  Dering Adira Site Infomedia Sri Ratu Semarang</t>
  </si>
  <si>
    <t>00321/M/INF25463/2025</t>
  </si>
  <si>
    <t>Permohonan Perpanjangan  Astinet Layanan Contact center Dering Adira Site Infomedia Sri Ratu Semarang</t>
  </si>
  <si>
    <t>1-4008929765,</t>
  </si>
  <si>
    <t>Permohonan  Perpanjangan Metro E Layanan Contact center Dering Adira Site Infomedia Sri Ratu Semarang</t>
  </si>
  <si>
    <t>2-1848632157</t>
  </si>
  <si>
    <t>Permohonan Aktivasi Masking Outbond Layanan Jtrust 1500615</t>
  </si>
  <si>
    <t>00322/M/INF25463/2025</t>
  </si>
  <si>
    <t>13/10/2025</t>
  </si>
  <si>
    <t>Permohonan Dismantle Nomor Akses 1500689 MOXA PT Astra InternationalTbk</t>
  </si>
  <si>
    <t>00018/M/INF25231/2025</t>
  </si>
  <si>
    <t>00324/IN/INF25463/2025</t>
  </si>
  <si>
    <t>14/10/2025</t>
  </si>
  <si>
    <t>Permohonan Aktivasi Masking Outbond Layanan BTN 1500286</t>
  </si>
  <si>
    <t>00325/M/INF25463/2025</t>
  </si>
  <si>
    <t>16/10/2025</t>
  </si>
  <si>
    <t>Permohonan Dismantle Astinet layanan Contact BRI Semarang</t>
  </si>
  <si>
    <t>00034/M/INF25241/2025</t>
  </si>
  <si>
    <t>00327/M/INF25463/2025</t>
  </si>
  <si>
    <t>Permohonan Dismantle Metro E layanan Contact BRI Semarang</t>
  </si>
  <si>
    <t>Permohonan Dismantle Metronet layanan Contact BRI Semarang (ICON +)</t>
  </si>
  <si>
    <t>990000320520202</t>
  </si>
  <si>
    <t>990000320520199</t>
  </si>
  <si>
    <t>22/10/2025</t>
  </si>
  <si>
    <t>Permohonan Upgrade Astinet 15 Mbps Layanan Garuda Tbb</t>
  </si>
  <si>
    <t>00330/M/INF25463/2025</t>
  </si>
  <si>
    <t>23/10/2025</t>
  </si>
  <si>
    <t>Permohonan Masking Outbound Nomor Akses 1500345 Astra Graphia</t>
  </si>
  <si>
    <t>00331/M/INF25463/2025</t>
  </si>
  <si>
    <t>27/10/2025</t>
  </si>
  <si>
    <t>Permohonan Aktivasi Metro 2 Mbps Layanan Jtrust</t>
  </si>
  <si>
    <t>00332/M/INF25463/2025</t>
  </si>
  <si>
    <t>Permohonan PSB Link Astinet 10 Mbps Layanan Call Center Bank Mestika Site Infomedia Medan</t>
  </si>
  <si>
    <t>00333/M/INF25463/2025</t>
  </si>
  <si>
    <t>Permohonan PSB Link Astinet 30 Mbps Layanan Contact Center PT Pos Indonesia (Persero) Site Infomedia Yogyakarta</t>
  </si>
  <si>
    <t>00334/M/INF25463/2025</t>
  </si>
  <si>
    <t>30/10/2025</t>
  </si>
  <si>
    <t>Permohonan Dismantle Nomor Akses 1500465 PT RAKSASA LAJU LINTANG</t>
  </si>
  <si>
    <t>00044/M/INF25372/2025 </t>
  </si>
  <si>
    <t>00335/IN/INF25463/2025</t>
  </si>
  <si>
    <t>Permohonan Dismantle Nomor Akses 1500527 PT HINDO</t>
  </si>
  <si>
    <t>00043/M/INF25372/2025</t>
  </si>
  <si>
    <t>00336/M/INF25463/2025</t>
  </si>
  <si>
    <t>Permohonan PSB Link Metro E P2P Interactive 2 Mbps Layanan Korlantas Polri-DC Infomedia Jatinegara</t>
  </si>
  <si>
    <t>00045/M/INF2537 2/2025 </t>
  </si>
  <si>
    <t>00342/M/INF25463/2025</t>
  </si>
  <si>
    <t>Rev Permohonan Perpanjangan Nomor Akses 1500511  Layanan Contact center Dering Adira Site Infomedia Sri Ratu Semarang</t>
  </si>
  <si>
    <t>F254515-02-00</t>
  </si>
  <si>
    <t>00343/M/INF25463/2025</t>
  </si>
  <si>
    <t>Rev Permohonan Perpanjangan Link Astinet 20 Mbps Layanan Contact center Dering Adira Site Infomedia Sri Ratu Semarang</t>
  </si>
  <si>
    <t>Rev Permohonan Upgrade Link Metro Ethernet P2P Infomedia Sriratu ke DC Layanan Contact center Dering Adira Site Infomedia Sri Ratu Semarang</t>
  </si>
  <si>
    <t>Permohonan upgrade kapasitas power rack DC neucentrix Kebalen</t>
  </si>
  <si>
    <t>kebutuhan power di rack DC neucentrix</t>
  </si>
  <si>
    <t>00344/IN/INF25463/2025</t>
  </si>
  <si>
    <t xml:space="preserve">Permohonan PSB Link Astinet 50 Mbps layanan Pengelolaan Collection Convergence Telkomsel Area 1
</t>
  </si>
  <si>
    <t>00346/M/INF25463/2025</t>
  </si>
  <si>
    <t>Permohonan PSB Link Metro E P2P Interactive 2 Mbps Layanan RSUP Kemenkes Surabaya DC Neucrentrix Kebalen Surabaya</t>
  </si>
  <si>
    <t>00347/M/INF25463/2025</t>
  </si>
  <si>
    <t>Permohonan PSB Link Astinet 5 Mbps layanan CC Bapenda Jabar</t>
  </si>
  <si>
    <t>00160/M/INF25333/2025 </t>
  </si>
  <si>
    <t>00348/M/INF25463/2025</t>
  </si>
  <si>
    <t>13/11/2025</t>
  </si>
  <si>
    <t xml:space="preserve">Dismentle Link Astinet Layanan Pertamina TBB </t>
  </si>
  <si>
    <t>00077/M/INF25336/2025</t>
  </si>
  <si>
    <t>00350/M/INF25463/2025</t>
  </si>
  <si>
    <t xml:space="preserve">Dismentle Link Metro Layanan Pertamina TBB </t>
  </si>
  <si>
    <t>Dismentle Link Astinet Layanan Pertamina Sri Ratu</t>
  </si>
  <si>
    <t>Dismentle Link Metro Layanan Pertamina Sri Ratu</t>
  </si>
  <si>
    <t>19/11/2025</t>
  </si>
  <si>
    <t xml:space="preserve">Permohonan PSB Link Metro E Interaktif BCA Cibitung – DC Jatinegara  Layanan BCA </t>
  </si>
  <si>
    <t>00352/M/INF25463/2025</t>
  </si>
  <si>
    <t xml:space="preserve">Permohonan Aktivasi New SIP TRUNK KBB Layanan BCA </t>
  </si>
  <si>
    <t>2-2575739949</t>
  </si>
  <si>
    <t xml:space="preserve">Permohonan PSB link Metro E Interaktif BCA Cibitung – DC Jatinegara Layanan BCA (Linknet) </t>
  </si>
  <si>
    <t>Linknet</t>
  </si>
  <si>
    <t>Permohonan Aktivasi Astinet 1 Mbps Layanan Kab Toraja Utara</t>
  </si>
  <si>
    <t>00353/M/INF25463/2025</t>
  </si>
  <si>
    <t>Permohonan Dismentle Link Astinet Layanan Posindo Bandung</t>
  </si>
  <si>
    <t>00190/M/INF25345/2025</t>
  </si>
  <si>
    <t>00354/M/INF25463/2025</t>
  </si>
  <si>
    <t>Permohonan Dismentle Link Metro Layanan Posindo Bandung</t>
  </si>
  <si>
    <t>Permohonan Dismantle Siptrunk BRI Semarang (Contact Center)</t>
  </si>
  <si>
    <t>00355/M/INF25463/2025</t>
  </si>
  <si>
    <t>3700038-0031033013</t>
  </si>
  <si>
    <t>Permohonan Dismantle Siptrunk BRI Semarang (Telesurvey)</t>
  </si>
  <si>
    <t>Permohonan Aktivasi Nomor Akses 112 Kota Madiun</t>
  </si>
  <si>
    <t>P254714-01-00 </t>
  </si>
  <si>
    <t>00356/IN/INF25463/2025</t>
  </si>
  <si>
    <t>20/11/2025</t>
  </si>
  <si>
    <t>Permohonan Aktivasi Masking Outbond Layanan BKPM 169</t>
  </si>
  <si>
    <t>00357/M/INF25463/2025</t>
  </si>
  <si>
    <t>24/11/2025</t>
  </si>
  <si>
    <t>P231566-02-00</t>
  </si>
  <si>
    <t>00358/M/INF25463/2025</t>
  </si>
  <si>
    <t>2-1940821037</t>
  </si>
  <si>
    <t>Permohonan upgrade link metro p2p 40 Mbps DC Jatinegara - DC neucentrix Meruya</t>
  </si>
  <si>
    <t>00359/IN/INF25463/2025</t>
  </si>
  <si>
    <t>Jatinegara  sid 1737561823</t>
  </si>
  <si>
    <t>Meruya  sid =  1737194609</t>
  </si>
  <si>
    <t>25/11/2025</t>
  </si>
  <si>
    <t>00361/M/INF25463/2025</t>
  </si>
  <si>
    <t>Permohonan upgrade link metro p2p 100 Mbps DC Jatinegara - DC neucentrix Meruya</t>
  </si>
  <si>
    <t>Kebutuhan akses vm </t>
  </si>
  <si>
    <t>00362/M/INF25463/2025</t>
  </si>
  <si>
    <t>28/11/2025</t>
  </si>
  <si>
    <t>Permohonan Dismantle Astinet Layanan Contact Center Listriqu Haleyora (Telkom DSS)</t>
  </si>
  <si>
    <t>00051/M/INF25372/2025 </t>
  </si>
  <si>
    <t>00366/M/INF25463/2025</t>
  </si>
  <si>
    <t>Permohonan Dismantle Metro Layanan Contact Center Listriqu Haleyora (Telkom DSS)</t>
  </si>
  <si>
    <t>29/11/2025</t>
  </si>
  <si>
    <t>Permohonan Aktivasi Child Metro 4 Mbps Layanan Gojek 1500171</t>
  </si>
  <si>
    <t>00050/M/INF25372/2025</t>
  </si>
  <si>
    <t>00367/M/INF25463/2025</t>
  </si>
  <si>
    <t>Permohonan Aktivasi Metro 4 Mbps Layanan Gopay 1500729</t>
  </si>
  <si>
    <t>00368/M/INF25463/2025</t>
  </si>
  <si>
    <t>Permohonan Dismantle Nomor Akses  1500518 PT Asuransi BRI Life</t>
  </si>
  <si>
    <t>00053/M/INF25372/2025</t>
  </si>
  <si>
    <t>00369/M/INF25463/2025</t>
  </si>
  <si>
    <t>Permohonan Dismantle Masking Outbound 1500518 PT Asuransi BRI Life</t>
  </si>
  <si>
    <r>
      <t> </t>
    </r>
    <r>
      <rPr>
        <sz val="11"/>
        <color rgb="FF222222"/>
        <rFont val="Calibri"/>
        <family val="2"/>
        <charset val="1"/>
      </rPr>
      <t>2-2265325668</t>
    </r>
  </si>
  <si>
    <t>Permohonan PSB Link Astinet 25 Mbps Layanan Contact Center ASDP Site Infomedia Tendean</t>
  </si>
  <si>
    <t>00370/M/INF25463/2025</t>
  </si>
  <si>
    <t>Permohonan Downgrade Bandwidth Internet Layanan Pertamina 135 Bandung</t>
  </si>
  <si>
    <t>00372/M/INF25463/2025</t>
  </si>
  <si>
    <t> 2-2291305664 </t>
  </si>
  <si>
    <t>Permohonan Dismantle Nomor Akses 1500686 PT OTO MULTIARTA</t>
  </si>
  <si>
    <t>00054/M/INF25372/2025</t>
  </si>
  <si>
    <t>00374/M/INF25463/2025</t>
  </si>
  <si>
    <r>
      <t>7000157987</t>
    </r>
    <r>
      <rPr>
        <sz val="11"/>
        <color rgb="FF000000"/>
        <rFont val="Calibri"/>
        <family val="2"/>
        <charset val="1"/>
      </rPr>
      <t> </t>
    </r>
  </si>
  <si>
    <t>3700038-0029472938</t>
  </si>
  <si>
    <t>Permohonan Upgrade Metro E Buaran Layanan Outbound Call 188 Telkomsel</t>
  </si>
  <si>
    <t>00375/M/INF25463/2025</t>
  </si>
  <si>
    <t> 3700038-0031019421</t>
  </si>
  <si>
    <t>Permohonan Dismantle Nomor Akses  150922 RS NGOERAH (Telkom DWS)</t>
  </si>
  <si>
    <t>Email dari Sales Infomedia</t>
  </si>
  <si>
    <t>00376/M/INF25463/2025</t>
  </si>
  <si>
    <t>Permohonan Dismantle Masking Outbound Nomor Akses 150922 RS NGOERAH (Telkom DWS)</t>
  </si>
  <si>
    <t> 2-2368479492</t>
  </si>
  <si>
    <t>Permohonan Aktivasi Nomor Akses 112 Toraja Utara</t>
  </si>
  <si>
    <t>B-1310/DJID.5/PI.04.04/11/2025</t>
  </si>
  <si>
    <t>00377/IN/INF25463/2025</t>
  </si>
  <si>
    <t>Permohonan Aktivasi Nomor Akses 1500030 Layanan PDAM Kota Padang</t>
  </si>
  <si>
    <t>P254281-02-00 </t>
  </si>
  <si>
    <t>00378/M/INF25463/2025</t>
  </si>
  <si>
    <t>15/12/2025</t>
  </si>
  <si>
    <t xml:space="preserve">
Permohonan Aktivasi Nomor Akses 150881 RSK Dharmais</t>
  </si>
  <si>
    <t>00381/M/INF25463/2025</t>
  </si>
  <si>
    <t>Permohonan Dismantle Nomor Akses 129 KPPPA TESA</t>
  </si>
  <si>
    <t>00052/M/INF25372/3035</t>
  </si>
  <si>
    <t>Permohonan Dismantle Masking Outbound Nomor Akses 129 KPPPA TESA</t>
  </si>
  <si>
    <t>16/12/2025</t>
  </si>
  <si>
    <t>Permohonan PSB Link Astinet 1 Mbps Bank Capital Indonesia</t>
  </si>
  <si>
    <t>17/12/2025</t>
  </si>
  <si>
    <t>Permohonan Masking Outbound Nomor Akses 1500202 RSUP Dr Kariadi Semarang</t>
  </si>
  <si>
    <t>2-2583735237</t>
  </si>
  <si>
    <t>18/12/2025</t>
  </si>
  <si>
    <t>Permohonan Dismantle Link Metro E P2P 3 Mbps Layanan Bank Syariah Indonesia (Telkom DSS)</t>
  </si>
  <si>
    <t>19/12/2025</t>
  </si>
  <si>
    <t>Permohonan PSB Link Astinet 12 Mbps Layanan Engineering Call Center HM Sampoerna Site Infomedia Tendean</t>
  </si>
  <si>
    <t>Permohonan Perpanjangan Link APL (ICON+)</t>
  </si>
  <si>
    <t>Icon</t>
  </si>
  <si>
    <t>Permohonan Dismantle Link Metro E 1 Mbps Layanan pengadaan Connectivity dan Training Agent untuk CC JR dengan PT Aru Raharja ( ICON +)</t>
  </si>
  <si>
    <t>Permohonan Aktivasi Indibizz 50 Mbps Layanan Outbound Call FMC Product Stage 2</t>
  </si>
  <si>
    <t>Permohonan Perpanjangan Link Garuda Site TBB (Telkom DWS)</t>
  </si>
  <si>
    <t>1751787095 </t>
  </si>
  <si>
    <t>Permohonan Dismantle Masking Outbound Nomor Akses 1500136 Asuransi Allianz Life Indonesia Dismantle Masking Nomor Akses 1500139 Asuransi Life Syariah Indonesia dan Infrastruktur Site Sri Ratu</t>
  </si>
  <si>
    <t>Permohonan Dismantle Masking Outbound Nomor Akses 1500139 Asuransi Life Syariah Indonesia dan Infrastruktur Site Sri Ratu</t>
  </si>
  <si>
    <t>2-2074967530</t>
  </si>
  <si>
    <t>Permohonan Dismantle  Indihome  Asuransi Allianz  Site Sri Ratu</t>
  </si>
  <si>
    <t>Permohonan Dismantle  Metro  Asuransi Allianz  Site Sri Ratu</t>
  </si>
  <si>
    <t>Permohonan Dismantle  Astinet  Asuransi Allianz  Site Sri Ratu</t>
  </si>
  <si>
    <t>Permohonan psb link metro main backup Layanan BNI Multisite Surabaya via Telkom DWS</t>
  </si>
  <si>
    <t>31/12/2025</t>
  </si>
  <si>
    <t>Permohonan Dismentle Link Astinet Layanan Kredit Plus (Telkom DSS)</t>
  </si>
  <si>
    <t>Permohonan Dismentle Link Metro Kredit Plus (Telkom DSS)</t>
  </si>
  <si>
    <t>Permohonan Penambahan Nomor Masking Outbound Nomor Akses 1500286 BTN</t>
  </si>
  <si>
    <t xml:space="preserve"> 2-2676857719</t>
  </si>
  <si>
    <t>Permohonan Perpanjangan Metro BSI Wisma Mandiri to DC JTN</t>
  </si>
  <si>
    <t> 2-1739382015</t>
  </si>
  <si>
    <t>1709917439 </t>
  </si>
  <si>
    <t>Permohonan Perpanjangan Astinet BSI Wisma Mandiri to DC JTN</t>
  </si>
  <si>
    <t>2-1754838581</t>
  </si>
  <si>
    <t>1711645657 </t>
  </si>
  <si>
    <t xml:space="preserve">
Permohonan Upgrade Astinet Layanan Taspen Jogja (DWS)</t>
  </si>
  <si>
    <t> 1736826412 </t>
  </si>
  <si>
    <t>Permohonan Dismentle Link Astinet Sulselbar</t>
  </si>
  <si>
    <t>Permohonan Dismentle Link Astinet KITB Batang</t>
  </si>
  <si>
    <t>Permohonan Dismentle Link Astinet Pertamina Smg</t>
  </si>
  <si>
    <t>Permohonan Aktivasi Nomor Akses 150148 Lembaga Perlindungan Saksi dan Korban (LPSK)</t>
  </si>
  <si>
    <t xml:space="preserve"> 2-2600038908</t>
  </si>
  <si>
    <t>Permohonan Perpanjangan  Internet (Astinet) BSI Wisma Mandiri</t>
  </si>
  <si>
    <t>Upgrade &amp; Perpanjangan Metro BSI Tentara Pelajar to DC JTN</t>
  </si>
  <si>
    <t>2-2516248709</t>
  </si>
  <si>
    <t>Perpanjangan Internet (Astinet) BSI Wisma Mandiri</t>
  </si>
  <si>
    <t>2090324404 </t>
  </si>
  <si>
    <t>19/1/2026</t>
  </si>
  <si>
    <t>Permohonan Dismantle Nomor Akses 150212  Layanan Pemkot Jayapura</t>
  </si>
  <si>
    <t>2-2468695477</t>
  </si>
  <si>
    <t>Permohonan Dismantle Link Astinet 20 Mbps Layanan Pemkot Jayapura</t>
  </si>
  <si>
    <t>20/1/2026</t>
  </si>
  <si>
    <t>Permohonan Aktivasi Nomor Akses 1500092 Layanan Kontak Bupati Badung</t>
  </si>
  <si>
    <t xml:space="preserve"> 2-2682264786 </t>
  </si>
  <si>
    <t>23/1/2026</t>
  </si>
  <si>
    <t>Permohonan Perpanjangan Indibiz Bank Jatim (Telkom DSS)</t>
  </si>
  <si>
    <t>27/1/2026</t>
  </si>
  <si>
    <t>Permohonan Perpanjangan Internet (Astinet) Layanan Walk In</t>
  </si>
  <si>
    <t>Permohonan Perpanjangan Internet (Astinet) Layanan CC</t>
  </si>
  <si>
    <t>2-2350533831 </t>
  </si>
  <si>
    <t>PSB Link Metro E Interaktif Astra World Equinix – DC Jatinegara</t>
  </si>
  <si>
    <t>PSB Link Metro E Interaktif Astra World– DC Karet</t>
  </si>
  <si>
    <t>Permohonan Aktivasi Nomor Akses 1500815 PT Gadai Mas Nusantara</t>
  </si>
  <si>
    <t>2-2693511495</t>
  </si>
  <si>
    <t>28/1/2026</t>
  </si>
  <si>
    <t>PSB Link Metro E Interaktif BCA Cibitung – DC Jatinegara</t>
  </si>
  <si>
    <t>Permohonan link Aktivasi Link Metro P2P Interactive Layanan Pengelolaan Collection Convergence Telkomsel Area 1</t>
  </si>
  <si>
    <t xml:space="preserve"> 2-2731241975</t>
  </si>
  <si>
    <t>Permohonan link Aktivasi Link Astinet Layanan Pengelolaan Collection Convergence Telkomsel Area 1</t>
  </si>
  <si>
    <t>2-2731287291</t>
  </si>
  <si>
    <t>Permohonan Aktivasi Metro 3 Mbps Layanan RSUD Sutomo Surabaya (DWS)</t>
  </si>
  <si>
    <t>2-2731171600</t>
  </si>
  <si>
    <t>30/1/2026</t>
  </si>
  <si>
    <t>Permohonan Dismantle Nomor Akses 1500900 BBKK Tanjung Priok</t>
  </si>
  <si>
    <r>
      <t> </t>
    </r>
    <r>
      <rPr>
        <sz val="10"/>
        <color rgb="FF222222"/>
        <rFont val="Verdana"/>
        <family val="2"/>
        <charset val="1"/>
      </rPr>
      <t>2-2343063803</t>
    </r>
  </si>
  <si>
    <t>Permohonan Dismantle Nomor Akses 1500713 PT Astrindo Jaya Mobilindo</t>
  </si>
  <si>
    <t>2-258246127 </t>
  </si>
  <si>
    <t>Permohonan Dismantle Nomor Akses dan Masking Outbound 1500751 dan Link Astinet PT Prima Armada Raya</t>
  </si>
  <si>
    <r>
      <t>2-248487182</t>
    </r>
    <r>
      <rPr>
        <sz val="11"/>
        <color rgb="FF000000"/>
        <rFont val="Calibri"/>
        <family val="2"/>
        <charset val="1"/>
      </rPr>
      <t> </t>
    </r>
  </si>
  <si>
    <t>Permohonan Dismantle Masking Outbound 1500751 PT Prima Armada Raya</t>
  </si>
  <si>
    <t>2-2113061317</t>
  </si>
  <si>
    <t>Permohonan Dismantle Link Astinet PT Prima Armada Raya</t>
  </si>
  <si>
    <t>2-2113065307</t>
  </si>
  <si>
    <t>Permohonan Upgrade Astinet Layanan Erajaya (DWS)</t>
  </si>
  <si>
    <t>2-2738593346</t>
  </si>
  <si>
    <t>Permohonan Perubahan Nomor Translasi Permanen 150234 Bank Nagari</t>
  </si>
  <si>
    <t>2-2714355761</t>
  </si>
  <si>
    <t>888260781743</t>
  </si>
  <si>
    <t>Permohonan PSB Astinet 100 Mbps Layanan Contact Center PT Prodia Widyahusada Site Infomedia TBB</t>
  </si>
  <si>
    <t>2-2728656758</t>
  </si>
  <si>
    <t>Permohonan Aktivasi Masking Outbond Layanan Tokio Marine 14006</t>
  </si>
  <si>
    <t>WO SP</t>
  </si>
  <si>
    <t>Permohonan PSB Link Astinet 100 Mbps Layanan Digital Contact Center KB Bank Site Infomedia Tendean</t>
  </si>
  <si>
    <t>2-2745295890</t>
  </si>
  <si>
    <t>Permohonan Aktivasi Nomor Akses dan Masking Outbound Nomor Akses 1500558 Megavision (PT Cemerlang Multimedia)</t>
  </si>
  <si>
    <t>2-2745288718</t>
  </si>
  <si>
    <t>Permohonan Perpanjangan Link Internet Lintas Artha 10 Mbps Layanan Contact Center LKPP</t>
  </si>
  <si>
    <t>Lintasarta</t>
  </si>
  <si>
    <t>Permohonan Aktivasi Nomor Akses 133 PT JASA MARGA (PERSERO) TBK</t>
  </si>
  <si>
    <t>Permohonan Dismantle Astinet ICBC</t>
  </si>
  <si>
    <t>2-2747851116</t>
  </si>
  <si>
    <t>Permohonan PSB Link Astinet 6 Mbps Layanan Contact Center Damri Site Graha Intan Yogyakarta</t>
  </si>
  <si>
    <t>2-2758594551</t>
  </si>
  <si>
    <t>Permohonan Perpanjangan Nomor Akses 1500770  Layanan Contact Center PT Finnet Indonesia</t>
  </si>
  <si>
    <t>Permohonan Perpanjangan Link Astinet 3 Mbps Layanan Contact Center PT Finnet Indonesia</t>
  </si>
  <si>
    <t>Permohonan Aktivasi Nomor Akses 150885 Seainsurance (PT Titik Utara Teknologi Indonesia)</t>
  </si>
  <si>
    <t>2-2768099606</t>
  </si>
  <si>
    <t>Permohonan PSB Link Metro E 3 Mbps Seainsurance (PT Titik Utara Teknologi Indonesia)</t>
  </si>
  <si>
    <t>2-2785503709</t>
  </si>
  <si>
    <t>Permohonan Dismantle Link Metro E Layanan PAM Jaya</t>
  </si>
  <si>
    <t>2-2057392608</t>
  </si>
  <si>
    <t>1780155345 </t>
  </si>
  <si>
    <t>Permohonan Dismantle Link Astinet Layanan PAM Jaya</t>
  </si>
  <si>
    <t>Permohonan Perpanjangan Link Internet Astinet 2 Mbps Call Center SPGDT 119 Dinkes Kab Karawang (Witel Area)</t>
  </si>
  <si>
    <t>Witel</t>
  </si>
  <si>
    <t>Permohonan Perpanjangan Astinet Layanan Call Center SPGDT 119 Dinkes Kab Tasikmalaya (Witel Area)</t>
  </si>
  <si>
    <t>Permohonan Masking Outbound Nomor Akses 1500727 Bank BJB Syariah</t>
  </si>
  <si>
    <t>2-2778784058</t>
  </si>
  <si>
    <t>Permohonan Penambahan Nomor Masking Outbound Nomor Akses 1500153 Bank Sinarmas</t>
  </si>
  <si>
    <t>Permohonan PSB Link Astinet 50 Mbps Layanan Contact Center System SaaS Bank Sinarmas</t>
  </si>
  <si>
    <t>2-2783164592</t>
  </si>
  <si>
    <t>Permohonan PSB Link Metro E P2P Interactive 10 Mbps PT Bank OCBC NISP Tbk Bandung DC Infomedia Jatinegara</t>
  </si>
  <si>
    <t>2-2785452404</t>
  </si>
  <si>
    <t>Permohonan PSB Link Metro E DC Jatinegara– Infomedia Sri Ratu (Main, STO SImpang Lima)</t>
  </si>
  <si>
    <t>Permohonan PSB Link Metro E DC Jatinegara– Infomedia Sri Ratu (Backup: STO Candi)</t>
  </si>
  <si>
    <t>Permohonan PSB Link Metro E DC  BRI Ragunan– Infomedia Sri Ratu Layanan Contact Center BRI Site Infomedia Sri Ratu Semarang (Telkom DWS)</t>
  </si>
  <si>
    <t>Permohonan PSB Link Metro E DR BRI Tabanan– Infomedia Sri Ratu Layanan Contact Center BRI Site Infomedia Sri Ratu Semarang (Telkom DWS)</t>
  </si>
  <si>
    <t>Permohonan PSB Link Astinet CC BRI Site Infomedia Sri Ratu  (Telkom DWS)</t>
  </si>
  <si>
    <t>Permohonan PSB Link Astinet 50 Mbps Layanan Managed Service Contact Center PT Pegadaian Site Graha Intan Yogyakarta</t>
  </si>
  <si>
    <t xml:space="preserve"> 2-2785512658</t>
  </si>
  <si>
    <t>Revisi PSB Link Metro Ethernet DC BRI Ragunan – Infomedia Sri Ratu (ICON +)</t>
  </si>
  <si>
    <t>Revisi PSB Link Metro Ethernet DR BRI Tabanan – Infomedia Sri Ratu (ICON +)</t>
  </si>
  <si>
    <t>Permohonan PSB Link Metro E P2P Interactive 70 Mbps DC BCA Cibitung DC Infomedia Jatinegara (Telkom DSS)</t>
  </si>
  <si>
    <t>Permohonan PSB Link Astinet 5 Mbps Layanan Contact Center Kementerian Koperasi</t>
  </si>
  <si>
    <t>2-2778755925</t>
  </si>
  <si>
    <t>16/3/2026</t>
  </si>
  <si>
    <t>Permohonan Perpanjangan Link Astinet 10 Mbps Layanan Tokiomarine Site Infomedia Fatmawati tahun 2026</t>
  </si>
  <si>
    <t>26/3/2026</t>
  </si>
  <si>
    <t>Permohonan PSB Metro Ethernet P2P BSI Site Danareksa – DC Infomedia Jatinegara  Layanan BSI Site Danareksa (Telkom DSS)</t>
  </si>
  <si>
    <t>Permohonan PSB AstinetLayanan BSI Site Danareksa (Telkom DSS)</t>
  </si>
  <si>
    <t>Permohonan Novasi (Perubahan Nomor Translasi Nomor Billing dan Channel Berlangganan) Nomor Akses 1500676 PT Asuransi Mitra Pelindung Mustika</t>
  </si>
  <si>
    <t> 2-2801560173</t>
  </si>
  <si>
    <t>Permohonan Dismantle Astinet Layanan PT Pijar Laju Nusantara (Haleyora) Telkom DSS</t>
  </si>
  <si>
    <t>Permohonan Dismantle Metro E P2MP Layanan PT Pijar Laju Nusantara (Haleyora) Telkom DSS</t>
  </si>
  <si>
    <t>Permohonan Dismantle Nomor Akses 0804-1-000234 SRC INDONESIA</t>
  </si>
  <si>
    <t>13/4/2026</t>
  </si>
  <si>
    <t>Permohonan Dismantle Nomor Akses 150456 PT Pijar Laju Nusantara (Haleyora)</t>
  </si>
  <si>
    <t>2-856680598</t>
  </si>
  <si>
    <t>Permohonan Dismantle Masking Outbound 150456 PT Pijar Laju Nusantara (Haleyora)</t>
  </si>
  <si>
    <t>2-856702401</t>
  </si>
  <si>
    <t>15/4/2026</t>
  </si>
  <si>
    <t>Permohonan Penambahan Nomor Masking Outbound Nomor Akses 14040 Bank Syariah Indonesia</t>
  </si>
  <si>
    <t>2-1225357722</t>
  </si>
  <si>
    <t>16/4/2026</t>
  </si>
  <si>
    <t>Permohonan Dismantle Nomor Akses 1500878 TRI SWADARMA UTAMA</t>
  </si>
  <si>
    <t>2-1880311019</t>
  </si>
  <si>
    <t>Permohonan Dismantle Masking Outbound 1500878 TRI SWADARMA UTAMA</t>
  </si>
  <si>
    <t>2-1880314050</t>
  </si>
  <si>
    <t>Permohonan Dismantle Nomor Akses 150-280 Suiten Inovasi Sukses</t>
  </si>
  <si>
    <t>2-2400026093</t>
  </si>
  <si>
    <t>Permohonan Dismantle Nomor Akses 1500157 Bank Weleri Makmur</t>
  </si>
  <si>
    <t>2-317959980</t>
  </si>
  <si>
    <t>3700038-0029159939</t>
  </si>
  <si>
    <t>Permohonan Dismantle Nomor Akses 1500396 Astra International-Astra World</t>
  </si>
  <si>
    <t>2-243241389</t>
  </si>
  <si>
    <t>3700038-0031905465</t>
  </si>
  <si>
    <t>22/4/2026</t>
  </si>
  <si>
    <t>Permohonan PSB Link Astinet 10 Mbps Layanan Verification Bank Danamon Site Infomedia BSD</t>
  </si>
  <si>
    <t>2-3272198719</t>
  </si>
  <si>
    <t>23/4/2026</t>
  </si>
  <si>
    <t>Permohonan Dismantle Indihome Infomedia Untuk Layanan Hooq Telkomsel</t>
  </si>
  <si>
    <t>24/4/2026</t>
  </si>
  <si>
    <t>Permohonan Dismantle Siptrunk Cloud Manado</t>
  </si>
  <si>
    <t>2-2018402721</t>
  </si>
  <si>
    <t>Permohonan Downgrade Link Metro E 100 Mbps menjadi 20 Mbps DC Meruya to DC Jatinegara</t>
  </si>
  <si>
    <t>27/4/2026</t>
  </si>
  <si>
    <t>Permohonan Dismantle Nomor Akses Nomor Akses 1500377 PT JCO Donuts and Coffee Tanggal 30 April 2026</t>
  </si>
  <si>
    <t>3700038-0028598046</t>
  </si>
  <si>
    <t>Permohonan Aktivasi Nomor Akses 115 Basarnas</t>
  </si>
  <si>
    <t>Permohonan Upgrade Astinet 25 Mbps Layanan Garuda site TBB</t>
  </si>
  <si>
    <t>2-3329658083</t>
  </si>
  <si>
    <t>Permohonan Dismantle Nomor Akses 1500922 PDAM Tirtranadi Medan</t>
  </si>
  <si>
    <t>3700038-0029451157</t>
  </si>
  <si>
    <t>Permohonan Perpanjangan Link Backup Metro Icon + DC Jatinegara To Cyber Layanan BNI Sekuritas</t>
  </si>
  <si>
    <t xml:space="preserve">
111202019548</t>
  </si>
  <si>
    <r>
      <t>  </t>
    </r>
    <r>
      <rPr>
        <sz val="9"/>
        <color rgb="FF000000"/>
        <rFont val="Arial"/>
        <family val="2"/>
        <charset val="1"/>
      </rPr>
      <t>2-2226243238</t>
    </r>
  </si>
  <si>
    <t>13/5/2026</t>
  </si>
  <si>
    <t>Permohonan PSB Astinet 30 Mbps Layanan Contact Center BSI Site Graha Inti Fauzi Jakarta (ICON +)</t>
  </si>
  <si>
    <t>Permohonan PSB Astinet 30 Mbps  Layanan Contact Center BSI Site BSI Tentara Pelajar Semarang (ICON +)</t>
  </si>
  <si>
    <t>20/5/2026</t>
  </si>
  <si>
    <t xml:space="preserve">Permohonan Masking Outbound Nomor Akses 1500007 Primaya Hospital (PT Famon Awal Bros Sedaya)
</t>
  </si>
  <si>
    <t>25/5/2026</t>
  </si>
  <si>
    <t>Permohonan Perpanjangan Link Indibiz 50 Mbps Layanan Call Center Dinkes 119 Kabupaten Lebak Banten (Witel Area)</t>
  </si>
  <si>
    <t>Permohonan Relokasi Network NCC Pusat Komando Nasional dan PSC 119 Kemenkes (DGS)</t>
  </si>
  <si>
    <t>26/5/2026</t>
  </si>
  <si>
    <t>Permohonan Dismantle Nomor Akses 1500869 SIAGA CORONA TELKOM GROUP</t>
  </si>
  <si>
    <t>2-402562599</t>
  </si>
  <si>
    <t>Permohonan Upgrade Infrastruktur 15 Mbps ke 30 Mbps untuk DC Jatinegara-BSI Rempoa (ICON +)</t>
  </si>
  <si>
    <t>Permohonan Upgrade Infrastruktur 15 Mbps ke 30 Mbps untuk  DC Kebalen-Rempoa Layanan BSI (ICON +)</t>
  </si>
  <si>
    <t>Permohonan Link Internet Astinet 1 Mbps Layanan Call Center SPGDT 119 Dinkes Kota Solok Tahun 2026</t>
  </si>
  <si>
    <t>Permohonan Perpanjangan dan Upgrade Link Metro E 15 Mbps menjadi 30 Mbps Layanan BSI (Rempoa To DC Jatinegara) Telkom DSS</t>
  </si>
  <si>
    <t>1-15161522273</t>
  </si>
  <si>
    <t>Permohonan Dismantle Astinet 2 Mbps SPGDT 119 Dinkes Kab Tasikmalaya (RS SMC)</t>
  </si>
  <si>
    <r>
      <t> </t>
    </r>
    <r>
      <rPr>
        <sz val="10"/>
        <color rgb="FF000000"/>
        <rFont val="Helvetica"/>
        <family val="2"/>
        <charset val="1"/>
      </rPr>
      <t>588820137 </t>
    </r>
  </si>
  <si>
    <t>Permohonan Aktivasi Nomor Akses 1500618 PT Wahana Wirawan (Indomobil)</t>
  </si>
  <si>
    <t>2-3331310028</t>
  </si>
  <si>
    <t>Permohonan Perpanjangan dan Relokasi Internet Astinet 1 Mbps Layanan Call Center SPGDT 119 Dinkes Kota Padang Panjang</t>
  </si>
  <si>
    <t>2-2442681235</t>
  </si>
  <si>
    <t>Permohonan Perpanjangan dan Upgrade Link Metro E 15 Mbps menjadi 30 Mbps Liayanan BSI (Rempoa To DC Jatinegara) Telkom DSS</t>
  </si>
  <si>
    <t>18/6/2026</t>
  </si>
  <si>
    <t>Permohonan Dismantle Nomor Akses 1500309 PT JACCS Mitra Pinasthika Mustika</t>
  </si>
  <si>
    <t>3700038-0031313540</t>
  </si>
  <si>
    <t>22/6/2026</t>
  </si>
  <si>
    <t>Permohonan Dismantle Masking Outbound Nomor Akses 1500054 PT Skortech Karya Indonesia</t>
  </si>
  <si>
    <t>2-2509562996</t>
  </si>
  <si>
    <t>Permohonan Masking Outbound Nomor Akses 139 DPR</t>
  </si>
  <si>
    <t>2-3407675216</t>
  </si>
  <si>
    <t>Permohonan Dismantle Metro E 3 Mbps Dinas Kependudukan Dan Catatan Sipil (Dukcapil)</t>
  </si>
  <si>
    <t>3700038-0024331637</t>
  </si>
  <si>
    <r>
      <t> </t>
    </r>
    <r>
      <rPr>
        <sz val="10"/>
        <color rgb="FF222222"/>
        <rFont val="Verdana"/>
        <family val="2"/>
        <charset val="1"/>
      </rPr>
      <t>2-2183638455</t>
    </r>
  </si>
  <si>
    <t>Permohonan Dismantle Nomor Akses 117 BNPB</t>
  </si>
  <si>
    <t>2-1789690371</t>
  </si>
  <si>
    <t>26/6/2026</t>
  </si>
  <si>
    <t xml:space="preserve">
Permohonan Masking Outbound Nomor Akses 1500167 OVO (PT VISIONET INTERNATIONAL)</t>
  </si>
  <si>
    <t>2-3336251546</t>
  </si>
  <si>
    <t>Permohonan Dismantle Nomor Akses 1500199 PT Nusa Prima Pangan (Solaria)</t>
  </si>
  <si>
    <t>Permohonan Dismantle Link Astinet 5 Mbps Layanan Call Center OIKN</t>
  </si>
  <si>
    <t>2-2278834738</t>
  </si>
  <si>
    <r>
      <t> 2061174308</t>
    </r>
    <r>
      <rPr>
        <sz val="10"/>
        <color rgb="FF000000"/>
        <rFont val="Helvetica"/>
        <family val="2"/>
        <charset val="1"/>
      </rPr>
      <t> </t>
    </r>
  </si>
  <si>
    <t>Permohonan Masking Outbound Nomor Akses 1500844 BPD Bali</t>
  </si>
  <si>
    <t>2-3336257091</t>
  </si>
  <si>
    <t>Permohonan Masking Outbound Nomor Akses 1500630 Pusat Pasar Kerja Kemnaker RI Tahun 2026</t>
  </si>
  <si>
    <t>2-3375066373</t>
  </si>
  <si>
    <t>Permohonan Dismantle Astinet 5 Mbps Layanan Bank Aladin Syariah Tbk</t>
  </si>
  <si>
    <t>Permohonan Dismantle Astinet 2 Mbps Layanan Bank Aladin Syariah Tbk</t>
  </si>
  <si>
    <t> 2-2296411808</t>
  </si>
  <si>
    <t>Permohonan Dismantle Metro E 7 Mbps Layanan Bank Aladin Syariah Tbk (DC JTN-Graha Intan Yogya)</t>
  </si>
  <si>
    <t>2-1950459188</t>
  </si>
  <si>
    <t>Permohonan Dismantle Metro E 7 Mbps Layanan Bank Aladin Syariah Tbk (DC JTN-Cyber )</t>
  </si>
  <si>
    <t>2-2294617147</t>
  </si>
  <si>
    <t>Permohonan Perpanjangan Link Indibiz 50 Mbps Layanan Outbound Call FMC Product Stage 3 (Telkom DSS)</t>
  </si>
  <si>
    <t>Permohonan PSB Indibiz 100 Mbps Layanan Outbound Call FMC Product Stage 3 (Telkom DSS)</t>
  </si>
  <si>
    <t>Permohonan Masking Outbound Nomor Akses 1500021 Bank Hana(Telkom DWS)</t>
  </si>
  <si>
    <t>2-3374243313</t>
  </si>
  <si>
    <t>Permohonan PSB Link Metro E P2P Bank Hana to DC Infomedia Jatinegara (Telkom DSS)</t>
  </si>
  <si>
    <t>Permohonan Dismantle Link Astinet 2 Mbps RSUD Tarakan</t>
  </si>
  <si>
    <t>2-1757464367</t>
  </si>
  <si>
    <t>Permohonan Dismantle Link Metro Main BNI Multisite Surabaya (Telkom DSS)</t>
  </si>
  <si>
    <t>Permohonan PSB Indibiz 50 Mbps Layanan RS Elisabeth Semarang (Telkom DSS)</t>
  </si>
  <si>
    <t>Permohonan Dismantle Nomor Akses 1500773 PT Pelabuhan Indonesia III</t>
  </si>
  <si>
    <t>2-55550698,</t>
  </si>
  <si>
    <r>
      <t> </t>
    </r>
    <r>
      <rPr>
        <sz val="11"/>
        <color rgb="FF242424"/>
        <rFont val="Calibri"/>
        <family val="2"/>
        <charset val="1"/>
      </rPr>
      <t>3700038-0032208212</t>
    </r>
  </si>
  <si>
    <t>2-55550698</t>
  </si>
  <si>
    <t>13/7/2026</t>
  </si>
  <si>
    <t>Permohonan Downgrade Link Metro E P2P Interactive 10 Mbps menjadi 4 Mbps PT Bank OCBC NISP Tbk Bandung DC Infomedia Jatinegara  PSB Link Metro E Interactive 4 Mbps PT Bank OCBC NISP Tbk BSD</t>
  </si>
  <si>
    <t>Permohonan PSB Link Metro E Interactive 4 Mbps PT Bank OCBC NISP Tbk BSD to DC Jatinegara</t>
  </si>
  <si>
    <t>2-3374160611</t>
  </si>
  <si>
    <t>16/7/2026</t>
  </si>
  <si>
    <t>Permohonan Aktivasi Nomor Akses 182  Layanan Contact Center Badan Pengendalian Pembangunan dan Investigasi Khusus</t>
  </si>
  <si>
    <t>2-3377877453</t>
  </si>
  <si>
    <t>Permohonan PSB Link Astinet 5 Mbps Layanan Contact Center Badan Pengendalian Pembangunan dan Investigasi Khusus</t>
  </si>
  <si>
    <t>2-3378069918</t>
  </si>
  <si>
    <t>Permohonan PSB Infrastruktur Astra World Main (Telkom DSS)</t>
  </si>
  <si>
    <t>Permohonan PSB Infrastruktur Astra World Backup (Telkom DSS)</t>
  </si>
  <si>
    <t>22/7/2026</t>
  </si>
  <si>
    <t>Permohonan Penambahan Nomor Masking Outbound Nomor Akses 1500999 Bank OCBC (Telkom DWS)</t>
  </si>
  <si>
    <t> 2-3377564582</t>
  </si>
  <si>
    <t>23/7/2026</t>
  </si>
  <si>
    <t>2-3407839991</t>
  </si>
  <si>
    <t xml:space="preserve">Permohonan Aktivasi Nomor Akses 1500628 Bank Dana Nusantara Batam </t>
  </si>
  <si>
    <t xml:space="preserve"> 2-3411731931</t>
  </si>
  <si>
    <t xml:space="preserve">Permohonan PSB Link Metro E Interactive 1 Mbps Bank Dana Nusantara Batam to DC Infomedia Jatinegara </t>
  </si>
  <si>
    <t>27/7/2026</t>
  </si>
  <si>
    <t xml:space="preserve">Permohonan Dismantle Nomor Akses CC BKPM </t>
  </si>
  <si>
    <t>2-1063313408</t>
  </si>
  <si>
    <t>Permohonan Dismantle Masking Outbound 169  CC BKPM (Telkom DWS)</t>
  </si>
  <si>
    <t>Permohonan Dismantle Link Astinet 100 Mbps CC BKPM (Telkom DWS)</t>
  </si>
  <si>
    <t>Permohonan Dismantle Masking Outbound CC BP Tapera (Telkom DWS)</t>
  </si>
  <si>
    <t>2-2039129902</t>
  </si>
  <si>
    <t>Permohonan Dismantle Sip Trunk Nomor Akses 1500156 Layanan CC BP Tapera (Telkom DWS)</t>
  </si>
  <si>
    <t>Permohonan Dismantle Metro E P2P Interactive Layanan CC BP Tapera (Telkom DWS)</t>
  </si>
  <si>
    <t> 2-1420334413 </t>
  </si>
  <si>
    <t>Permohonan Downgrade Astinet 150 Mbps menjadi 100 Mbps Layanan CC BKPM (Telkom DWS)</t>
  </si>
  <si>
    <t>Permohonan Dismantle Link Metro E P2P Interactive Layanan CC BP Tapera (Telkom DSS)</t>
  </si>
  <si>
    <t>1-21950486936</t>
  </si>
  <si>
    <t>29/7/2026</t>
  </si>
  <si>
    <t>Permohonan Relokasi UPTD PSC 119 Kabupaten Sleman Yogyakarta (Telkom DGS)</t>
  </si>
  <si>
    <t>Permohonan Relokasi UPTD PSC 119 Kota Madiun (Telkom DGS)</t>
  </si>
  <si>
    <t>31/7/2026</t>
  </si>
  <si>
    <t>Permohonan Novasi (Perubahan Nomor Translasi Nomor Billing dan Channel Berlangganan) Nomor Akses 1500686 PT OTO MULTIARTHA</t>
  </si>
  <si>
    <t>Permohonan PSB Link Astinet 10 Mbps Layanan Contact Center Badan Nasional Penanggulangan Bencana (BNPB)</t>
  </si>
  <si>
    <t>Permohonan PSB Link Metro E 4 Mbps PT Bank OCBC NISP Tbk BSD DC Infomedia Jatinegara (Telkom DSS)</t>
  </si>
  <si>
    <t>Permohonan Dismantle Nomor Akses 1500816 RS Hamori Subang</t>
  </si>
  <si>
    <t>2-1851880009</t>
  </si>
  <si>
    <t>JANUARI</t>
  </si>
  <si>
    <t>FEBRUARI</t>
  </si>
  <si>
    <t>MARET</t>
  </si>
  <si>
    <t>APRIL</t>
  </si>
  <si>
    <t>MAY</t>
  </si>
  <si>
    <t>JUNI</t>
  </si>
  <si>
    <t>JULI</t>
  </si>
  <si>
    <t>AGUSTUS</t>
  </si>
  <si>
    <t>SEPTEMBER</t>
  </si>
  <si>
    <t>OKTOBER</t>
  </si>
  <si>
    <t>NOVEMBER</t>
  </si>
  <si>
    <t>Total Project</t>
  </si>
  <si>
    <t>Revenue Project</t>
  </si>
  <si>
    <t>Klasifikasi order</t>
  </si>
  <si>
    <t>JUMLAH</t>
  </si>
  <si>
    <t>TOTAL TAGIHAN</t>
  </si>
  <si>
    <t>NOMOR AKSES</t>
  </si>
  <si>
    <t>Total Revenue</t>
  </si>
  <si>
    <t>CRM Revenue</t>
  </si>
  <si>
    <t>Dismentle</t>
  </si>
  <si>
    <t>SSO Revenue</t>
  </si>
  <si>
    <t>CONNECTIVITY</t>
  </si>
  <si>
    <t>Nomor Akses Revenue</t>
  </si>
  <si>
    <t>IPPBX 
SIP TRUNK</t>
  </si>
  <si>
    <t>Revenue</t>
  </si>
  <si>
    <t>Project</t>
  </si>
  <si>
    <t>Colocation/ 
cndc</t>
  </si>
  <si>
    <t>Project Done</t>
  </si>
  <si>
    <t>Project OGP</t>
  </si>
  <si>
    <t>Jumlah Order</t>
  </si>
  <si>
    <t>Order Open</t>
  </si>
  <si>
    <t>Order Close</t>
  </si>
  <si>
    <t>Penambahan Cost</t>
  </si>
  <si>
    <t>Pengurangan Cost</t>
  </si>
  <si>
    <t>Penambahan Item</t>
  </si>
  <si>
    <t>Pengurangan Item</t>
  </si>
  <si>
    <t>Perkiraan Tagihan</t>
  </si>
  <si>
    <t>Realisasi Tagihan</t>
  </si>
  <si>
    <t>Jumlah</t>
  </si>
  <si>
    <t>Sudah BA</t>
  </si>
  <si>
    <t>Belum BA</t>
  </si>
  <si>
    <t>PROJECT/ NON PROJECT</t>
  </si>
  <si>
    <t>Dismantle Nomor Akses Nomor Akses 1500030 dan 1500938 a.n Bank Commonwealth</t>
  </si>
  <si>
    <t>3700038-0030961477</t>
  </si>
  <si>
    <t>Dismantle SIP TRUNK CLOUD Layanan Infomedia (Sip Trunk Cloud  Bandung)</t>
  </si>
  <si>
    <t>Dismantle SIP TRUNK CLOUD Layanan Infomedia (Sip Trunk Cloud  Surabaya)</t>
  </si>
  <si>
    <t>4708166-0030877237</t>
  </si>
  <si>
    <t>Total</t>
  </si>
  <si>
    <t>Permohonan Dismantle Link IndiHome Layanan Ecare &amp; CES Telkomsel</t>
  </si>
  <si>
    <t xml:space="preserve">
00077/IN/INF25463/2025</t>
  </si>
  <si>
    <t>Permohonan Dismantle Infrastruktur dan Nomor Akses 1500774 Travel Management SSO</t>
  </si>
  <si>
    <t>No</t>
  </si>
  <si>
    <t>Nama Project</t>
  </si>
  <si>
    <t>Kendala</t>
  </si>
  <si>
    <t>Tanggal Charter</t>
  </si>
  <si>
    <t>Aging</t>
  </si>
  <si>
    <t>Due Date Live</t>
  </si>
  <si>
    <t>Status Nadine ITND</t>
  </si>
  <si>
    <t>No PR</t>
  </si>
  <si>
    <t>Harga Link</t>
  </si>
  <si>
    <t>Opsi Connectivity (Indibizz)</t>
  </si>
  <si>
    <t>Link</t>
  </si>
  <si>
    <t>Kebutuhan</t>
  </si>
  <si>
    <t>Bandwidth</t>
  </si>
  <si>
    <t>DWS</t>
  </si>
  <si>
    <t>DES</t>
  </si>
  <si>
    <t>Icon+</t>
  </si>
  <si>
    <t>Layanan Helpdesk Aplikasi Kemenkes (Satu Sehat) Periode April - Desember 2025</t>
  </si>
  <si>
    <t xml:space="preserve"> Nomor Akses</t>
  </si>
  <si>
    <t>24 HK</t>
  </si>
  <si>
    <t> </t>
  </si>
  <si>
    <t>Astinet</t>
  </si>
  <si>
    <t>35 HK</t>
  </si>
  <si>
    <t>Done Submit PR</t>
  </si>
  <si>
    <t>Sudah</t>
  </si>
  <si>
    <t>PR/09737</t>
  </si>
  <si>
    <t>Proses CR untuk connectivity Indibizz</t>
  </si>
  <si>
    <t>77 HK</t>
  </si>
  <si>
    <t>PR/09509-8</t>
  </si>
  <si>
    <t>Percepatan ke DWS untuk no akses sudah &amp; untuk astinet pembagian beban ke astinet Ultimate Tendean</t>
  </si>
  <si>
    <t>Layanan Contact Center Kejagung RI (Periode 8 Bulan Mei - Desember 2025)</t>
  </si>
  <si>
    <t>17 HK</t>
  </si>
  <si>
    <t>Done SPMP</t>
  </si>
  <si>
    <t>PR/10028-11</t>
  </si>
  <si>
    <t>62 HK</t>
  </si>
  <si>
    <t>Proses CR (Order ke DES 0800)</t>
  </si>
  <si>
    <t>Belum</t>
  </si>
  <si>
    <t>PR/09583-1</t>
  </si>
  <si>
    <t>Tidak Ada</t>
  </si>
  <si>
    <t>4 HK</t>
  </si>
  <si>
    <t>PR/10110</t>
  </si>
  <si>
    <t>Metro</t>
  </si>
  <si>
    <t>Pengadaan Layanan CC Pelita Air Service TA 2025 - 2027</t>
  </si>
  <si>
    <t> Nomor Akses</t>
  </si>
  <si>
    <t>20 HK</t>
  </si>
  <si>
    <t>Done Order DES</t>
  </si>
  <si>
    <t xml:space="preserve">PR/09960-6 </t>
  </si>
  <si>
    <t>Pengadaan Jasa Managed Service untuk Operasional Layanan Meterai Elektronik Perum Peruri 2024 – 2025</t>
  </si>
  <si>
    <t>Upgrade dari 2 Mbps ke 10 Mbps</t>
  </si>
  <si>
    <t>82 HK</t>
  </si>
  <si>
    <t>36 HK</t>
  </si>
  <si>
    <t>PR/09851-1</t>
  </si>
  <si>
    <t>PR/09916</t>
  </si>
  <si>
    <t>12 HK</t>
  </si>
  <si>
    <t>Done WO</t>
  </si>
  <si>
    <t>PR/10026</t>
  </si>
  <si>
    <t>Proses ALISA</t>
  </si>
  <si>
    <t>Mobil Listrik xpeng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</si>
</sst>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78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Times New Roman"/>
      <charset val="1"/>
    </font>
    <font>
      <b/>
      <sz val="11"/>
      <color theme="1"/>
      <name val="Calibri"/>
      <family val="2"/>
      <scheme val="minor"/>
    </font>
    <font>
      <sz val="10"/>
      <color rgb="FF000000"/>
      <name val="Helvetica"/>
      <charset val="1"/>
    </font>
    <font>
      <sz val="11"/>
      <color rgb="FF000000"/>
      <name val="Calibri"/>
      <family val="2"/>
      <charset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24"/>
      <color theme="9"/>
      <name val="Calibri"/>
      <family val="2"/>
      <scheme val="minor"/>
    </font>
    <font>
      <sz val="10"/>
      <color theme="1"/>
      <name val="Calibri"/>
      <family val="2"/>
      <charset val="1"/>
    </font>
    <font>
      <b/>
      <sz val="14"/>
      <color rgb="FF242424"/>
      <name val="Aptos Narrow"/>
      <charset val="1"/>
    </font>
    <font>
      <b/>
      <sz val="14"/>
      <color rgb="FFFF0000"/>
      <name val="Calibri"/>
      <family val="2"/>
      <scheme val="minor"/>
    </font>
    <font>
      <b/>
      <sz val="14"/>
      <color theme="9"/>
      <name val="Calibri"/>
      <family val="2"/>
      <scheme val="minor"/>
    </font>
    <font>
      <sz val="11"/>
      <color rgb="FF000000"/>
      <name val="Calibri"/>
      <scheme val="minor"/>
    </font>
    <font>
      <sz val="10"/>
      <color rgb="FF222222"/>
      <name val="Verdana"/>
      <charset val="1"/>
    </font>
    <font>
      <sz val="11"/>
      <color rgb="FF242424"/>
      <name val="Aptos Narrow"/>
      <charset val="1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color rgb="FF222222"/>
      <name val="Verdana"/>
      <family val="2"/>
    </font>
    <font>
      <sz val="9"/>
      <color rgb="FF000000"/>
      <name val="Calibri"/>
      <family val="2"/>
      <charset val="1"/>
    </font>
    <font>
      <sz val="9"/>
      <color rgb="FF000000"/>
      <name val="Helvetica"/>
      <charset val="1"/>
    </font>
    <font>
      <sz val="11"/>
      <color rgb="FF222222"/>
      <name val="Calibri"/>
      <family val="2"/>
      <charset val="1"/>
    </font>
    <font>
      <sz val="10"/>
      <color theme="1"/>
      <name val="Helvetica"/>
      <charset val="1"/>
    </font>
    <font>
      <sz val="10"/>
      <color rgb="FF000000"/>
      <name val="Arial"/>
      <charset val="1"/>
    </font>
    <font>
      <sz val="12"/>
      <color rgb="FF000000"/>
      <name val="Arial"/>
      <charset val="1"/>
    </font>
    <font>
      <sz val="12"/>
      <color rgb="FF000000"/>
      <name val="Aptos"/>
      <charset val="1"/>
    </font>
    <font>
      <sz val="9"/>
      <color rgb="FF222222"/>
      <name val="Calibri"/>
      <family val="2"/>
      <charset val="1"/>
    </font>
    <font>
      <sz val="9"/>
      <color theme="1"/>
      <name val="Calibri"/>
      <family val="2"/>
      <charset val="1"/>
    </font>
    <font>
      <sz val="11"/>
      <color rgb="FF000000"/>
      <name val="Helvetica"/>
      <charset val="1"/>
    </font>
    <font>
      <u/>
      <sz val="10"/>
      <color rgb="FF000000"/>
      <name val="Helvetica"/>
      <charset val="1"/>
    </font>
    <font>
      <sz val="10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charset val="1"/>
    </font>
    <font>
      <sz val="8"/>
      <color rgb="FF000000"/>
      <name val="Helvetica"/>
      <charset val="1"/>
    </font>
    <font>
      <sz val="12"/>
      <color rgb="FF222222"/>
      <name val="Arial"/>
      <charset val="1"/>
    </font>
    <font>
      <sz val="9"/>
      <color rgb="FF000000"/>
      <name val="Calibri"/>
      <charset val="1"/>
    </font>
    <font>
      <sz val="11"/>
      <color rgb="FF000000"/>
      <name val="Calibri"/>
      <family val="2"/>
      <scheme val="minor"/>
    </font>
    <font>
      <sz val="10"/>
      <color rgb="FF1F1F1F"/>
      <name val="Google Sans"/>
      <charset val="1"/>
    </font>
    <font>
      <sz val="10"/>
      <name val="Arial"/>
      <family val="2"/>
    </font>
    <font>
      <sz val="10"/>
      <color rgb="FF222222"/>
      <name val="Calibri"/>
      <family val="2"/>
      <charset val="1"/>
    </font>
    <font>
      <sz val="10"/>
      <color rgb="FF4C4C4C"/>
      <name val="Arial"/>
      <charset val="1"/>
    </font>
    <font>
      <sz val="10"/>
      <color rgb="FF212121"/>
      <name val="Calibri"/>
      <family val="2"/>
      <charset val="1"/>
    </font>
    <font>
      <sz val="10"/>
      <color rgb="FF212121"/>
      <name val="Helvetica"/>
      <charset val="1"/>
    </font>
    <font>
      <b/>
      <sz val="9"/>
      <color rgb="FFFFFFFF"/>
      <name val="Calibri"/>
    </font>
    <font>
      <b/>
      <sz val="8"/>
      <color rgb="FFFFFFFF"/>
      <name val="Calibri"/>
    </font>
    <font>
      <sz val="9"/>
      <color rgb="FF000000"/>
      <name val="Calibri"/>
    </font>
    <font>
      <sz val="11"/>
      <color rgb="FF000000"/>
      <name val="Calibri"/>
    </font>
    <font>
      <sz val="10"/>
      <color rgb="FF4C4C4C"/>
      <name val="Lato"/>
      <charset val="1"/>
    </font>
    <font>
      <sz val="12"/>
      <color theme="1"/>
      <name val="Calibri"/>
      <family val="2"/>
      <scheme val="minor"/>
    </font>
    <font>
      <sz val="10"/>
      <color rgb="FF222222"/>
      <name val="Helvetica"/>
      <charset val="1"/>
    </font>
    <font>
      <b/>
      <sz val="10"/>
      <color rgb="FF000000"/>
      <name val="Calibri"/>
      <family val="2"/>
      <charset val="1"/>
    </font>
    <font>
      <sz val="13.5"/>
      <color rgb="FF000000"/>
      <name val="Helvetica"/>
      <charset val="1"/>
    </font>
    <font>
      <sz val="11"/>
      <color theme="1"/>
      <name val="Helvetica"/>
      <charset val="1"/>
    </font>
    <font>
      <sz val="9"/>
      <color rgb="FF000000"/>
      <name val="Arial"/>
      <charset val="1"/>
    </font>
    <font>
      <sz val="9"/>
      <color rgb="FF222222"/>
      <name val="Arial"/>
      <charset val="1"/>
    </font>
    <font>
      <sz val="12"/>
      <color theme="1"/>
      <name val="Calibri"/>
      <family val="2"/>
      <charset val="1"/>
    </font>
    <font>
      <sz val="8"/>
      <color rgb="FF000000"/>
      <name val="Arial"/>
      <charset val="1"/>
    </font>
    <font>
      <sz val="10"/>
      <color rgb="FF000000"/>
      <name val="Helvetica"/>
      <family val="2"/>
      <charset val="1"/>
    </font>
    <font>
      <sz val="11"/>
      <color rgb="FF242424"/>
      <name val="Calibri"/>
    </font>
    <font>
      <sz val="12"/>
      <color rgb="FF000000"/>
      <name val="Aptos"/>
      <family val="2"/>
      <charset val="1"/>
    </font>
    <font>
      <b/>
      <sz val="9"/>
      <color rgb="FF000000"/>
      <name val="Calibri"/>
      <family val="2"/>
      <charset val="1"/>
    </font>
    <font>
      <sz val="9"/>
      <color rgb="FF242424"/>
      <name val="Aptos Narrow"/>
      <family val="2"/>
      <charset val="1"/>
    </font>
    <font>
      <sz val="10"/>
      <color rgb="FF222222"/>
      <name val="Verdana"/>
      <family val="2"/>
      <charset val="1"/>
    </font>
    <font>
      <sz val="11"/>
      <color rgb="FF242424"/>
      <name val="Calibri"/>
      <family val="2"/>
      <charset val="1"/>
    </font>
    <font>
      <sz val="12"/>
      <color rgb="FF000000"/>
      <name val="Times New Roman"/>
      <family val="1"/>
      <charset val="1"/>
    </font>
    <font>
      <sz val="11"/>
      <color rgb="FF242424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9"/>
      <color rgb="FF000000"/>
      <name val="Arial"/>
      <family val="2"/>
      <charset val="1"/>
    </font>
    <font>
      <sz val="9"/>
      <color rgb="FF222222"/>
      <name val="Arial"/>
      <family val="2"/>
      <charset val="1"/>
    </font>
    <font>
      <sz val="10"/>
      <color theme="1"/>
      <name val="Calibri"/>
      <family val="2"/>
      <scheme val="minor"/>
    </font>
    <font>
      <sz val="10"/>
      <color rgb="FF000000"/>
      <name val="Times New Roman"/>
      <charset val="1"/>
    </font>
    <font>
      <sz val="12"/>
      <color rgb="FF000000"/>
      <name val="Calibri"/>
      <family val="2"/>
    </font>
    <font>
      <sz val="11"/>
      <color rgb="FF000000"/>
      <name val="Times New Roman"/>
      <family val="1"/>
      <charset val="1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AA6ED"/>
        <bgColor rgb="FF000000"/>
      </patternFill>
    </fill>
    <fill>
      <patternFill patternType="solid">
        <fgColor rgb="FFD9E1F2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209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wrapText="1"/>
    </xf>
    <xf numFmtId="0" fontId="4" fillId="0" borderId="0" xfId="0" applyFont="1"/>
    <xf numFmtId="0" fontId="3" fillId="0" borderId="0" xfId="0" applyFont="1"/>
    <xf numFmtId="3" fontId="3" fillId="3" borderId="1" xfId="0" applyNumberFormat="1" applyFont="1" applyFill="1" applyBorder="1"/>
    <xf numFmtId="3" fontId="0" fillId="0" borderId="1" xfId="0" applyNumberFormat="1" applyBorder="1"/>
    <xf numFmtId="3" fontId="0" fillId="0" borderId="3" xfId="0" applyNumberFormat="1" applyBorder="1"/>
    <xf numFmtId="3" fontId="0" fillId="0" borderId="0" xfId="0" applyNumberFormat="1"/>
    <xf numFmtId="3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5" fillId="0" borderId="0" xfId="0" applyFont="1"/>
    <xf numFmtId="3" fontId="0" fillId="4" borderId="1" xfId="0" applyNumberFormat="1" applyFill="1" applyBorder="1" applyAlignment="1">
      <alignment horizontal="center"/>
    </xf>
    <xf numFmtId="15" fontId="0" fillId="0" borderId="0" xfId="0" applyNumberFormat="1"/>
    <xf numFmtId="0" fontId="8" fillId="0" borderId="0" xfId="0" applyFont="1"/>
    <xf numFmtId="0" fontId="9" fillId="0" borderId="0" xfId="0" applyFont="1" applyAlignment="1">
      <alignment vertical="center"/>
    </xf>
    <xf numFmtId="3" fontId="9" fillId="0" borderId="0" xfId="0" applyNumberFormat="1" applyFont="1" applyAlignme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/>
    <xf numFmtId="4" fontId="0" fillId="0" borderId="0" xfId="0" applyNumberFormat="1"/>
    <xf numFmtId="0" fontId="14" fillId="0" borderId="0" xfId="0" applyFont="1"/>
    <xf numFmtId="0" fontId="7" fillId="0" borderId="0" xfId="0" applyFont="1" applyAlignment="1">
      <alignment vertical="center"/>
    </xf>
    <xf numFmtId="3" fontId="1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3" fontId="5" fillId="0" borderId="0" xfId="0" applyNumberFormat="1" applyFont="1"/>
    <xf numFmtId="0" fontId="5" fillId="0" borderId="0" xfId="0" applyFont="1" applyAlignment="1">
      <alignment horizontal="right"/>
    </xf>
    <xf numFmtId="0" fontId="18" fillId="0" borderId="0" xfId="0" applyFont="1"/>
    <xf numFmtId="0" fontId="19" fillId="0" borderId="0" xfId="0" applyFont="1"/>
    <xf numFmtId="0" fontId="0" fillId="0" borderId="0" xfId="0" applyAlignment="1">
      <alignment wrapText="1"/>
    </xf>
    <xf numFmtId="0" fontId="20" fillId="0" borderId="0" xfId="0" applyFont="1"/>
    <xf numFmtId="0" fontId="21" fillId="0" borderId="0" xfId="1"/>
    <xf numFmtId="0" fontId="22" fillId="0" borderId="0" xfId="0" applyFont="1"/>
    <xf numFmtId="0" fontId="23" fillId="0" borderId="0" xfId="0" applyFont="1"/>
    <xf numFmtId="0" fontId="24" fillId="0" borderId="0" xfId="0" applyFont="1"/>
    <xf numFmtId="3" fontId="24" fillId="0" borderId="0" xfId="0" applyNumberFormat="1" applyFont="1"/>
    <xf numFmtId="0" fontId="25" fillId="0" borderId="0" xfId="0" applyFont="1"/>
    <xf numFmtId="3" fontId="26" fillId="0" borderId="0" xfId="0" applyNumberFormat="1" applyFont="1"/>
    <xf numFmtId="3" fontId="5" fillId="0" borderId="0" xfId="0" applyNumberFormat="1" applyFont="1" applyAlignment="1">
      <alignment wrapText="1"/>
    </xf>
    <xf numFmtId="0" fontId="28" fillId="0" borderId="0" xfId="0" applyFont="1"/>
    <xf numFmtId="0" fontId="27" fillId="5" borderId="0" xfId="0" applyFont="1" applyFill="1" applyAlignment="1">
      <alignment wrapText="1"/>
    </xf>
    <xf numFmtId="14" fontId="0" fillId="0" borderId="0" xfId="0" applyNumberFormat="1" applyAlignment="1">
      <alignment horizontal="right"/>
    </xf>
    <xf numFmtId="3" fontId="29" fillId="0" borderId="0" xfId="0" applyNumberFormat="1" applyFont="1"/>
    <xf numFmtId="0" fontId="0" fillId="0" borderId="0" xfId="0" applyAlignment="1">
      <alignment horizontal="right"/>
    </xf>
    <xf numFmtId="3" fontId="31" fillId="0" borderId="0" xfId="0" applyNumberFormat="1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1" fontId="0" fillId="0" borderId="0" xfId="0" applyNumberFormat="1"/>
    <xf numFmtId="0" fontId="4" fillId="0" borderId="0" xfId="0" applyFont="1" applyAlignment="1">
      <alignment vertical="top"/>
    </xf>
    <xf numFmtId="3" fontId="3" fillId="0" borderId="0" xfId="0" applyNumberFormat="1" applyFont="1"/>
    <xf numFmtId="43" fontId="0" fillId="0" borderId="0" xfId="0" applyNumberFormat="1"/>
    <xf numFmtId="164" fontId="0" fillId="0" borderId="0" xfId="0" applyNumberFormat="1"/>
    <xf numFmtId="165" fontId="3" fillId="0" borderId="0" xfId="0" applyNumberFormat="1" applyFont="1"/>
    <xf numFmtId="165" fontId="0" fillId="0" borderId="0" xfId="0" applyNumberFormat="1"/>
    <xf numFmtId="1" fontId="3" fillId="0" borderId="0" xfId="0" applyNumberFormat="1" applyFont="1"/>
    <xf numFmtId="1" fontId="0" fillId="0" borderId="0" xfId="0" applyNumberFormat="1" applyAlignment="1">
      <alignment wrapText="1"/>
    </xf>
    <xf numFmtId="1" fontId="5" fillId="0" borderId="0" xfId="0" applyNumberFormat="1" applyFont="1"/>
    <xf numFmtId="0" fontId="27" fillId="5" borderId="0" xfId="0" applyFont="1" applyFill="1"/>
    <xf numFmtId="3" fontId="20" fillId="0" borderId="0" xfId="0" applyNumberFormat="1" applyFont="1"/>
    <xf numFmtId="0" fontId="37" fillId="0" borderId="0" xfId="0" applyFont="1"/>
    <xf numFmtId="0" fontId="38" fillId="0" borderId="0" xfId="0" applyFont="1"/>
    <xf numFmtId="0" fontId="18" fillId="0" borderId="0" xfId="0" applyFont="1" applyAlignment="1">
      <alignment wrapText="1"/>
    </xf>
    <xf numFmtId="0" fontId="39" fillId="0" borderId="0" xfId="0" applyFont="1"/>
    <xf numFmtId="0" fontId="4" fillId="0" borderId="0" xfId="0" applyFont="1" applyAlignment="1">
      <alignment wrapText="1"/>
    </xf>
    <xf numFmtId="0" fontId="40" fillId="0" borderId="0" xfId="0" applyFont="1"/>
    <xf numFmtId="0" fontId="42" fillId="0" borderId="0" xfId="0" applyFont="1"/>
    <xf numFmtId="164" fontId="0" fillId="0" borderId="0" xfId="0" applyNumberFormat="1" applyAlignment="1">
      <alignment horizontal="right"/>
    </xf>
    <xf numFmtId="3" fontId="36" fillId="5" borderId="0" xfId="0" applyNumberFormat="1" applyFont="1" applyFill="1"/>
    <xf numFmtId="0" fontId="43" fillId="6" borderId="0" xfId="0" applyFont="1" applyFill="1"/>
    <xf numFmtId="0" fontId="43" fillId="0" borderId="0" xfId="0" applyFont="1"/>
    <xf numFmtId="3" fontId="43" fillId="0" borderId="0" xfId="0" applyNumberFormat="1" applyFont="1"/>
    <xf numFmtId="0" fontId="0" fillId="7" borderId="0" xfId="0" applyFill="1" applyAlignment="1">
      <alignment horizontal="right"/>
    </xf>
    <xf numFmtId="0" fontId="22" fillId="0" borderId="0" xfId="0" applyFont="1" applyAlignment="1">
      <alignment wrapText="1"/>
    </xf>
    <xf numFmtId="0" fontId="0" fillId="0" borderId="4" xfId="0" applyBorder="1"/>
    <xf numFmtId="3" fontId="30" fillId="5" borderId="0" xfId="0" applyNumberFormat="1" applyFont="1" applyFill="1"/>
    <xf numFmtId="3" fontId="5" fillId="5" borderId="0" xfId="0" applyNumberFormat="1" applyFont="1" applyFill="1"/>
    <xf numFmtId="0" fontId="5" fillId="5" borderId="0" xfId="0" applyFont="1" applyFill="1" applyAlignment="1">
      <alignment horizontal="right"/>
    </xf>
    <xf numFmtId="0" fontId="36" fillId="5" borderId="0" xfId="0" applyFont="1" applyFill="1" applyAlignment="1">
      <alignment horizontal="right"/>
    </xf>
    <xf numFmtId="3" fontId="41" fillId="5" borderId="0" xfId="0" applyNumberFormat="1" applyFont="1" applyFill="1"/>
    <xf numFmtId="3" fontId="5" fillId="5" borderId="5" xfId="0" applyNumberFormat="1" applyFont="1" applyFill="1" applyBorder="1"/>
    <xf numFmtId="3" fontId="44" fillId="0" borderId="0" xfId="0" applyNumberFormat="1" applyFont="1"/>
    <xf numFmtId="3" fontId="44" fillId="5" borderId="1" xfId="0" applyNumberFormat="1" applyFont="1" applyFill="1" applyBorder="1"/>
    <xf numFmtId="0" fontId="36" fillId="0" borderId="0" xfId="0" applyFont="1"/>
    <xf numFmtId="3" fontId="0" fillId="0" borderId="0" xfId="0" applyNumberFormat="1" applyAlignment="1">
      <alignment wrapText="1"/>
    </xf>
    <xf numFmtId="0" fontId="46" fillId="0" borderId="0" xfId="0" applyFont="1"/>
    <xf numFmtId="0" fontId="47" fillId="0" borderId="0" xfId="0" applyFont="1"/>
    <xf numFmtId="0" fontId="0" fillId="0" borderId="0" xfId="0" applyAlignment="1">
      <alignment horizontal="center"/>
    </xf>
    <xf numFmtId="0" fontId="50" fillId="0" borderId="8" xfId="0" applyFont="1" applyBorder="1" applyAlignment="1">
      <alignment wrapText="1" readingOrder="1"/>
    </xf>
    <xf numFmtId="0" fontId="50" fillId="0" borderId="7" xfId="0" applyFont="1" applyBorder="1" applyAlignment="1">
      <alignment wrapText="1" readingOrder="1"/>
    </xf>
    <xf numFmtId="0" fontId="50" fillId="0" borderId="7" xfId="0" quotePrefix="1" applyFont="1" applyBorder="1" applyAlignment="1">
      <alignment wrapText="1" readingOrder="1"/>
    </xf>
    <xf numFmtId="0" fontId="50" fillId="0" borderId="7" xfId="0" applyFont="1" applyBorder="1" applyAlignment="1">
      <alignment readingOrder="1"/>
    </xf>
    <xf numFmtId="15" fontId="50" fillId="0" borderId="7" xfId="0" applyNumberFormat="1" applyFont="1" applyBorder="1" applyAlignment="1">
      <alignment readingOrder="1"/>
    </xf>
    <xf numFmtId="0" fontId="51" fillId="0" borderId="0" xfId="0" applyFont="1"/>
    <xf numFmtId="0" fontId="50" fillId="9" borderId="8" xfId="0" applyFont="1" applyFill="1" applyBorder="1" applyAlignment="1">
      <alignment wrapText="1" readingOrder="1"/>
    </xf>
    <xf numFmtId="0" fontId="50" fillId="9" borderId="6" xfId="0" applyFont="1" applyFill="1" applyBorder="1" applyAlignment="1">
      <alignment wrapText="1" readingOrder="1"/>
    </xf>
    <xf numFmtId="0" fontId="50" fillId="9" borderId="6" xfId="0" quotePrefix="1" applyFont="1" applyFill="1" applyBorder="1" applyAlignment="1">
      <alignment wrapText="1" readingOrder="1"/>
    </xf>
    <xf numFmtId="0" fontId="50" fillId="9" borderId="6" xfId="0" applyFont="1" applyFill="1" applyBorder="1" applyAlignment="1">
      <alignment readingOrder="1"/>
    </xf>
    <xf numFmtId="15" fontId="50" fillId="9" borderId="6" xfId="0" applyNumberFormat="1" applyFont="1" applyFill="1" applyBorder="1" applyAlignment="1">
      <alignment readingOrder="1"/>
    </xf>
    <xf numFmtId="0" fontId="51" fillId="0" borderId="0" xfId="0" applyFont="1" applyAlignment="1">
      <alignment wrapText="1"/>
    </xf>
    <xf numFmtId="0" fontId="52" fillId="0" borderId="0" xfId="0" applyFont="1"/>
    <xf numFmtId="0" fontId="49" fillId="8" borderId="0" xfId="0" applyFont="1" applyFill="1" applyAlignment="1">
      <alignment horizontal="center" wrapText="1" readingOrder="1"/>
    </xf>
    <xf numFmtId="0" fontId="49" fillId="8" borderId="0" xfId="0" applyFont="1" applyFill="1" applyAlignment="1">
      <alignment horizontal="center" vertical="center" wrapText="1" readingOrder="1"/>
    </xf>
    <xf numFmtId="0" fontId="51" fillId="0" borderId="0" xfId="0" applyFont="1" applyAlignment="1">
      <alignment horizontal="center"/>
    </xf>
    <xf numFmtId="0" fontId="24" fillId="5" borderId="12" xfId="0" applyFont="1" applyFill="1" applyBorder="1" applyAlignment="1">
      <alignment wrapText="1"/>
    </xf>
    <xf numFmtId="0" fontId="53" fillId="0" borderId="0" xfId="0" applyFont="1" applyAlignment="1">
      <alignment wrapText="1"/>
    </xf>
    <xf numFmtId="3" fontId="35" fillId="5" borderId="5" xfId="0" applyNumberFormat="1" applyFont="1" applyFill="1" applyBorder="1"/>
    <xf numFmtId="0" fontId="54" fillId="0" borderId="0" xfId="0" applyFont="1"/>
    <xf numFmtId="0" fontId="53" fillId="0" borderId="0" xfId="0" applyFont="1"/>
    <xf numFmtId="0" fontId="55" fillId="0" borderId="0" xfId="0" applyFont="1"/>
    <xf numFmtId="3" fontId="35" fillId="0" borderId="0" xfId="0" applyNumberFormat="1" applyFont="1"/>
    <xf numFmtId="0" fontId="24" fillId="5" borderId="0" xfId="0" applyFont="1" applyFill="1"/>
    <xf numFmtId="0" fontId="56" fillId="0" borderId="0" xfId="0" applyFont="1"/>
    <xf numFmtId="0" fontId="57" fillId="5" borderId="1" xfId="0" applyFont="1" applyFill="1" applyBorder="1" applyAlignment="1">
      <alignment wrapText="1"/>
    </xf>
    <xf numFmtId="0" fontId="58" fillId="0" borderId="0" xfId="0" applyFont="1"/>
    <xf numFmtId="3" fontId="59" fillId="0" borderId="0" xfId="0" applyNumberFormat="1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44" fillId="0" borderId="0" xfId="0" applyFont="1"/>
    <xf numFmtId="0" fontId="64" fillId="0" borderId="0" xfId="0" applyFont="1"/>
    <xf numFmtId="0" fontId="33" fillId="0" borderId="0" xfId="0" quotePrefix="1" applyFont="1"/>
    <xf numFmtId="0" fontId="2" fillId="0" borderId="1" xfId="0" applyFont="1" applyBorder="1"/>
    <xf numFmtId="0" fontId="2" fillId="5" borderId="1" xfId="0" applyFont="1" applyFill="1" applyBorder="1" applyAlignment="1">
      <alignment wrapText="1"/>
    </xf>
    <xf numFmtId="0" fontId="26" fillId="0" borderId="0" xfId="0" applyFont="1"/>
    <xf numFmtId="0" fontId="2" fillId="0" borderId="0" xfId="0" applyFont="1"/>
    <xf numFmtId="0" fontId="2" fillId="5" borderId="0" xfId="0" applyFont="1" applyFill="1" applyAlignment="1">
      <alignment wrapText="1"/>
    </xf>
    <xf numFmtId="3" fontId="2" fillId="0" borderId="0" xfId="0" applyNumberFormat="1" applyFont="1"/>
    <xf numFmtId="15" fontId="0" fillId="0" borderId="0" xfId="0" applyNumberFormat="1" applyAlignment="1">
      <alignment horizontal="right"/>
    </xf>
    <xf numFmtId="0" fontId="45" fillId="0" borderId="0" xfId="0" applyFont="1"/>
    <xf numFmtId="0" fontId="20" fillId="0" borderId="0" xfId="0" applyFont="1" applyAlignment="1">
      <alignment wrapText="1"/>
    </xf>
    <xf numFmtId="4" fontId="2" fillId="0" borderId="0" xfId="0" applyNumberFormat="1" applyFont="1"/>
    <xf numFmtId="14" fontId="2" fillId="0" borderId="0" xfId="0" applyNumberFormat="1" applyFont="1"/>
    <xf numFmtId="14" fontId="2" fillId="5" borderId="0" xfId="0" applyNumberFormat="1" applyFont="1" applyFill="1" applyAlignment="1">
      <alignment wrapText="1"/>
    </xf>
    <xf numFmtId="22" fontId="2" fillId="0" borderId="0" xfId="0" applyNumberFormat="1" applyFont="1"/>
    <xf numFmtId="22" fontId="0" fillId="0" borderId="0" xfId="0" applyNumberFormat="1"/>
    <xf numFmtId="0" fontId="0" fillId="0" borderId="13" xfId="0" applyBorder="1"/>
    <xf numFmtId="0" fontId="0" fillId="0" borderId="14" xfId="0" applyBorder="1"/>
    <xf numFmtId="0" fontId="3" fillId="0" borderId="0" xfId="0" applyFont="1" applyAlignment="1">
      <alignment horizontal="center"/>
    </xf>
    <xf numFmtId="0" fontId="65" fillId="0" borderId="0" xfId="0" applyFont="1"/>
    <xf numFmtId="0" fontId="66" fillId="0" borderId="0" xfId="0" applyFont="1"/>
    <xf numFmtId="0" fontId="67" fillId="0" borderId="0" xfId="0" applyFont="1"/>
    <xf numFmtId="0" fontId="2" fillId="5" borderId="15" xfId="0" applyFont="1" applyFill="1" applyBorder="1" applyAlignment="1">
      <alignment wrapText="1"/>
    </xf>
    <xf numFmtId="0" fontId="68" fillId="0" borderId="0" xfId="0" applyFont="1"/>
    <xf numFmtId="0" fontId="69" fillId="0" borderId="0" xfId="0" applyFont="1"/>
    <xf numFmtId="14" fontId="2" fillId="5" borderId="15" xfId="0" applyNumberFormat="1" applyFont="1" applyFill="1" applyBorder="1" applyAlignment="1">
      <alignment wrapText="1"/>
    </xf>
    <xf numFmtId="14" fontId="1" fillId="0" borderId="0" xfId="0" applyNumberFormat="1" applyFont="1"/>
    <xf numFmtId="0" fontId="70" fillId="0" borderId="0" xfId="0" applyFont="1"/>
    <xf numFmtId="0" fontId="71" fillId="0" borderId="0" xfId="0" applyFont="1"/>
    <xf numFmtId="1" fontId="24" fillId="0" borderId="0" xfId="0" applyNumberFormat="1" applyFont="1"/>
    <xf numFmtId="1" fontId="68" fillId="0" borderId="0" xfId="0" applyNumberFormat="1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68" fillId="5" borderId="0" xfId="0" applyFont="1" applyFill="1" applyAlignment="1">
      <alignment wrapText="1"/>
    </xf>
    <xf numFmtId="0" fontId="75" fillId="0" borderId="0" xfId="0" applyFont="1"/>
    <xf numFmtId="0" fontId="75" fillId="5" borderId="0" xfId="0" applyFont="1" applyFill="1" applyAlignment="1">
      <alignment wrapText="1"/>
    </xf>
    <xf numFmtId="4" fontId="45" fillId="0" borderId="0" xfId="0" applyNumberFormat="1" applyFont="1"/>
    <xf numFmtId="14" fontId="75" fillId="0" borderId="0" xfId="0" applyNumberFormat="1" applyFont="1"/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left" indent="1"/>
    </xf>
    <xf numFmtId="0" fontId="76" fillId="0" borderId="4" xfId="0" applyFont="1" applyBorder="1" applyAlignment="1">
      <alignment wrapText="1"/>
    </xf>
    <xf numFmtId="0" fontId="77" fillId="0" borderId="0" xfId="0" applyFont="1"/>
    <xf numFmtId="14" fontId="75" fillId="5" borderId="0" xfId="0" applyNumberFormat="1" applyFont="1" applyFill="1" applyAlignment="1">
      <alignment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8" fillId="8" borderId="10" xfId="0" applyFont="1" applyFill="1" applyBorder="1" applyAlignment="1">
      <alignment horizontal="center" vertical="center" wrapText="1" readingOrder="1"/>
    </xf>
    <xf numFmtId="0" fontId="48" fillId="8" borderId="8" xfId="0" applyFont="1" applyFill="1" applyBorder="1" applyAlignment="1">
      <alignment horizontal="center" vertical="center" wrapText="1" readingOrder="1"/>
    </xf>
    <xf numFmtId="0" fontId="49" fillId="8" borderId="9" xfId="0" applyFont="1" applyFill="1" applyBorder="1" applyAlignment="1">
      <alignment horizontal="center" wrapText="1" readingOrder="1"/>
    </xf>
    <xf numFmtId="0" fontId="49" fillId="8" borderId="0" xfId="0" applyFont="1" applyFill="1" applyAlignment="1">
      <alignment horizontal="center" wrapText="1" readingOrder="1"/>
    </xf>
    <xf numFmtId="0" fontId="49" fillId="8" borderId="7" xfId="0" applyFont="1" applyFill="1" applyBorder="1" applyAlignment="1">
      <alignment horizontal="center" wrapText="1" readingOrder="1"/>
    </xf>
    <xf numFmtId="0" fontId="49" fillId="8" borderId="0" xfId="0" applyFont="1" applyFill="1" applyAlignment="1">
      <alignment horizontal="center" vertical="center" wrapText="1" readingOrder="1"/>
    </xf>
    <xf numFmtId="0" fontId="49" fillId="8" borderId="9" xfId="0" applyFont="1" applyFill="1" applyBorder="1" applyAlignment="1">
      <alignment horizontal="center" vertical="center" wrapText="1" readingOrder="1"/>
    </xf>
    <xf numFmtId="0" fontId="49" fillId="8" borderId="10" xfId="0" applyFont="1" applyFill="1" applyBorder="1" applyAlignment="1">
      <alignment horizontal="center" vertical="center" wrapText="1" readingOrder="1"/>
    </xf>
    <xf numFmtId="0" fontId="49" fillId="8" borderId="11" xfId="0" applyFont="1" applyFill="1" applyBorder="1" applyAlignment="1">
      <alignment horizontal="center" vertical="center" wrapText="1" readingOrder="1"/>
    </xf>
    <xf numFmtId="0" fontId="49" fillId="8" borderId="7" xfId="0" applyFont="1" applyFill="1" applyBorder="1" applyAlignment="1">
      <alignment horizontal="center" vertical="center" wrapText="1" readingOrder="1"/>
    </xf>
    <xf numFmtId="0" fontId="48" fillId="8" borderId="11" xfId="0" applyFont="1" applyFill="1" applyBorder="1" applyAlignment="1">
      <alignment horizontal="center" vertical="center" wrapText="1" readingOrder="1"/>
    </xf>
    <xf numFmtId="0" fontId="50" fillId="9" borderId="10" xfId="0" applyFont="1" applyFill="1" applyBorder="1" applyAlignment="1">
      <alignment horizontal="center" wrapText="1" readingOrder="1"/>
    </xf>
    <xf numFmtId="0" fontId="50" fillId="9" borderId="8" xfId="0" applyFont="1" applyFill="1" applyBorder="1" applyAlignment="1">
      <alignment horizontal="center" wrapText="1" readingOrder="1"/>
    </xf>
    <xf numFmtId="0" fontId="50" fillId="9" borderId="10" xfId="0" applyFont="1" applyFill="1" applyBorder="1" applyAlignment="1">
      <alignment horizontal="left" wrapText="1" readingOrder="1"/>
    </xf>
    <xf numFmtId="0" fontId="50" fillId="9" borderId="11" xfId="0" applyFont="1" applyFill="1" applyBorder="1" applyAlignment="1">
      <alignment horizontal="left" wrapText="1" readingOrder="1"/>
    </xf>
    <xf numFmtId="15" fontId="50" fillId="9" borderId="10" xfId="0" applyNumberFormat="1" applyFont="1" applyFill="1" applyBorder="1" applyAlignment="1">
      <alignment horizontal="right" readingOrder="1"/>
    </xf>
    <xf numFmtId="15" fontId="50" fillId="9" borderId="11" xfId="0" applyNumberFormat="1" applyFont="1" applyFill="1" applyBorder="1" applyAlignment="1">
      <alignment horizontal="right" readingOrder="1"/>
    </xf>
    <xf numFmtId="0" fontId="50" fillId="9" borderId="10" xfId="0" applyFont="1" applyFill="1" applyBorder="1" applyAlignment="1">
      <alignment horizontal="left" readingOrder="1"/>
    </xf>
    <xf numFmtId="0" fontId="50" fillId="9" borderId="11" xfId="0" applyFont="1" applyFill="1" applyBorder="1" applyAlignment="1">
      <alignment horizontal="left" readingOrder="1"/>
    </xf>
    <xf numFmtId="0" fontId="51" fillId="0" borderId="9" xfId="0" applyFont="1" applyBorder="1" applyAlignment="1">
      <alignment horizontal="left"/>
    </xf>
    <xf numFmtId="0" fontId="51" fillId="0" borderId="0" xfId="0" applyFont="1" applyAlignment="1">
      <alignment horizontal="left"/>
    </xf>
  </cellXfs>
  <cellStyles count="2">
    <cellStyle name="Hipertaut" xfId="1" builtinId="8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'Sum 2024'!$AE$3</c:f>
              <c:strCache>
                <c:ptCount val="1"/>
                <c:pt idx="0">
                  <c:v>Adi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 2024'!$AF$1:$AQ$1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2024'!$AF$3:$AQ$3</c:f>
              <c:numCache>
                <c:formatCode>#,##0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9-4ACB-9295-2ECE0765AC3D}"/>
            </c:ext>
          </c:extLst>
        </c:ser>
        <c:ser>
          <c:idx val="2"/>
          <c:order val="2"/>
          <c:tx>
            <c:strRef>
              <c:f>'Sum 2024'!$AE$4</c:f>
              <c:strCache>
                <c:ptCount val="1"/>
                <c:pt idx="0">
                  <c:v>Dwi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 2024'!$AF$1:$AQ$1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2024'!$AF$4:$AQ$4</c:f>
              <c:numCache>
                <c:formatCode>#,##0</c:formatCode>
                <c:ptCount val="12"/>
                <c:pt idx="0">
                  <c:v>12</c:v>
                </c:pt>
                <c:pt idx="1">
                  <c:v>12</c:v>
                </c:pt>
                <c:pt idx="2">
                  <c:v>10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9</c:v>
                </c:pt>
                <c:pt idx="7">
                  <c:v>4</c:v>
                </c:pt>
                <c:pt idx="8">
                  <c:v>3</c:v>
                </c:pt>
                <c:pt idx="9">
                  <c:v>6</c:v>
                </c:pt>
                <c:pt idx="10">
                  <c:v>9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79-4ACB-9295-2ECE0765AC3D}"/>
            </c:ext>
          </c:extLst>
        </c:ser>
        <c:ser>
          <c:idx val="3"/>
          <c:order val="3"/>
          <c:tx>
            <c:strRef>
              <c:f>'Sum 2024'!$AE$5</c:f>
              <c:strCache>
                <c:ptCount val="1"/>
                <c:pt idx="0">
                  <c:v>Duta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 2024'!$AF$1:$AQ$1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2024'!$AF$5:$AQ$5</c:f>
              <c:numCache>
                <c:formatCode>#,##0</c:formatCode>
                <c:ptCount val="12"/>
                <c:pt idx="0">
                  <c:v>26</c:v>
                </c:pt>
                <c:pt idx="1">
                  <c:v>14</c:v>
                </c:pt>
                <c:pt idx="2">
                  <c:v>11</c:v>
                </c:pt>
                <c:pt idx="3">
                  <c:v>8</c:v>
                </c:pt>
                <c:pt idx="4">
                  <c:v>10</c:v>
                </c:pt>
                <c:pt idx="5">
                  <c:v>7</c:v>
                </c:pt>
                <c:pt idx="6">
                  <c:v>6</c:v>
                </c:pt>
                <c:pt idx="7">
                  <c:v>12</c:v>
                </c:pt>
                <c:pt idx="8">
                  <c:v>5</c:v>
                </c:pt>
                <c:pt idx="9">
                  <c:v>8</c:v>
                </c:pt>
                <c:pt idx="10">
                  <c:v>9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79-4ACB-9295-2ECE0765AC3D}"/>
            </c:ext>
          </c:extLst>
        </c:ser>
        <c:ser>
          <c:idx val="4"/>
          <c:order val="4"/>
          <c:tx>
            <c:strRef>
              <c:f>'Sum 2024'!$AE$6</c:f>
              <c:strCache>
                <c:ptCount val="1"/>
                <c:pt idx="0">
                  <c:v>Gugum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'Sum 2024'!$AF$1:$AQ$1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2024'!$AF$6:$AQ$6</c:f>
              <c:numCache>
                <c:formatCode>#,##0</c:formatCode>
                <c:ptCount val="12"/>
                <c:pt idx="0">
                  <c:v>9</c:v>
                </c:pt>
                <c:pt idx="1">
                  <c:v>6</c:v>
                </c:pt>
                <c:pt idx="2">
                  <c:v>9</c:v>
                </c:pt>
                <c:pt idx="3">
                  <c:v>5</c:v>
                </c:pt>
                <c:pt idx="4">
                  <c:v>11</c:v>
                </c:pt>
                <c:pt idx="5">
                  <c:v>5</c:v>
                </c:pt>
                <c:pt idx="6">
                  <c:v>20</c:v>
                </c:pt>
                <c:pt idx="7">
                  <c:v>10</c:v>
                </c:pt>
                <c:pt idx="8">
                  <c:v>8</c:v>
                </c:pt>
                <c:pt idx="9">
                  <c:v>6</c:v>
                </c:pt>
                <c:pt idx="10">
                  <c:v>1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79-4ACB-9295-2ECE0765A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8006792"/>
        <c:axId val="837975048"/>
      </c:barChart>
      <c:lineChart>
        <c:grouping val="standard"/>
        <c:varyColors val="0"/>
        <c:ser>
          <c:idx val="0"/>
          <c:order val="0"/>
          <c:tx>
            <c:strRef>
              <c:f>'Sum 2024'!$AE$2</c:f>
              <c:strCache>
                <c:ptCount val="1"/>
                <c:pt idx="0">
                  <c:v>Revenue Project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2024'!$AF$1:$AQ$1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2024'!$AF$2:$AQ$2</c:f>
              <c:numCache>
                <c:formatCode>#,##0</c:formatCode>
                <c:ptCount val="12"/>
                <c:pt idx="0">
                  <c:v>153238322332.44</c:v>
                </c:pt>
                <c:pt idx="1">
                  <c:v>107069815680.28</c:v>
                </c:pt>
                <c:pt idx="2">
                  <c:v>158846645854</c:v>
                </c:pt>
                <c:pt idx="3">
                  <c:v>21145067274</c:v>
                </c:pt>
                <c:pt idx="4">
                  <c:v>117613354628</c:v>
                </c:pt>
                <c:pt idx="5">
                  <c:v>24387249911</c:v>
                </c:pt>
                <c:pt idx="6">
                  <c:v>25193979370</c:v>
                </c:pt>
                <c:pt idx="7">
                  <c:v>95140991295</c:v>
                </c:pt>
                <c:pt idx="8">
                  <c:v>130158747297.10001</c:v>
                </c:pt>
                <c:pt idx="9">
                  <c:v>301470394753.20001</c:v>
                </c:pt>
                <c:pt idx="10">
                  <c:v>46006119761</c:v>
                </c:pt>
                <c:pt idx="11">
                  <c:v>1005993372947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79-4ACB-9295-2ECE0765A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095623"/>
        <c:axId val="1514098183"/>
      </c:lineChart>
      <c:catAx>
        <c:axId val="1514095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98183"/>
        <c:crosses val="autoZero"/>
        <c:auto val="1"/>
        <c:lblAlgn val="ctr"/>
        <c:lblOffset val="100"/>
        <c:noMultiLvlLbl val="0"/>
      </c:catAx>
      <c:valAx>
        <c:axId val="1514098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95623"/>
        <c:crosses val="autoZero"/>
        <c:crossBetween val="between"/>
      </c:valAx>
      <c:valAx>
        <c:axId val="837975048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006792"/>
        <c:crosses val="max"/>
        <c:crossBetween val="between"/>
      </c:valAx>
      <c:catAx>
        <c:axId val="8380067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7975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 x Jenis Project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33-4360-933F-6A27FAABEF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33-4360-933F-6A27FAABEF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33-4360-933F-6A27FAABEF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 2024'!$AE$7:$AE$9</c:f>
              <c:strCache>
                <c:ptCount val="3"/>
                <c:pt idx="0">
                  <c:v>CRM Revenue</c:v>
                </c:pt>
                <c:pt idx="1">
                  <c:v>SSO Revenue</c:v>
                </c:pt>
                <c:pt idx="2">
                  <c:v>Nomor Akses Revenue</c:v>
                </c:pt>
              </c:strCache>
            </c:strRef>
          </c:cat>
          <c:val>
            <c:numRef>
              <c:f>'Sum 2024'!$AR$7:$AR$9</c:f>
              <c:numCache>
                <c:formatCode>#,##0</c:formatCode>
                <c:ptCount val="3"/>
                <c:pt idx="0">
                  <c:v>2121119572619.02</c:v>
                </c:pt>
                <c:pt idx="1">
                  <c:v>15923259005</c:v>
                </c:pt>
                <c:pt idx="2">
                  <c:v>49109229479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33-4360-933F-6A27FAABE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&amp;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'Sum 2024'!$AE$13</c:f>
              <c:strCache>
                <c:ptCount val="1"/>
                <c:pt idx="0">
                  <c:v>CRM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 2024'!$AF$11:$AQ$11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2024'!$AF$13:$AQ$13</c:f>
              <c:numCache>
                <c:formatCode>General</c:formatCode>
                <c:ptCount val="12"/>
                <c:pt idx="0">
                  <c:v>10</c:v>
                </c:pt>
                <c:pt idx="1">
                  <c:v>11</c:v>
                </c:pt>
                <c:pt idx="2">
                  <c:v>10</c:v>
                </c:pt>
                <c:pt idx="3">
                  <c:v>4</c:v>
                </c:pt>
                <c:pt idx="4">
                  <c:v>11</c:v>
                </c:pt>
                <c:pt idx="5">
                  <c:v>3</c:v>
                </c:pt>
                <c:pt idx="6">
                  <c:v>6</c:v>
                </c:pt>
                <c:pt idx="7">
                  <c:v>9</c:v>
                </c:pt>
                <c:pt idx="8">
                  <c:v>5</c:v>
                </c:pt>
                <c:pt idx="9">
                  <c:v>8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9B-485F-B837-3951B9ACC773}"/>
            </c:ext>
          </c:extLst>
        </c:ser>
        <c:ser>
          <c:idx val="3"/>
          <c:order val="2"/>
          <c:tx>
            <c:strRef>
              <c:f>'Sum 2024'!$AE$15</c:f>
              <c:strCache>
                <c:ptCount val="1"/>
                <c:pt idx="0">
                  <c:v>Nomor Akses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 2024'!$AF$11:$AQ$11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2024'!$AF$15:$AQ$15</c:f>
              <c:numCache>
                <c:formatCode>General</c:formatCode>
                <c:ptCount val="12"/>
                <c:pt idx="0">
                  <c:v>8</c:v>
                </c:pt>
                <c:pt idx="1">
                  <c:v>5</c:v>
                </c:pt>
                <c:pt idx="2">
                  <c:v>7</c:v>
                </c:pt>
                <c:pt idx="3">
                  <c:v>7</c:v>
                </c:pt>
                <c:pt idx="4">
                  <c:v>9</c:v>
                </c:pt>
                <c:pt idx="5">
                  <c:v>3</c:v>
                </c:pt>
                <c:pt idx="6">
                  <c:v>5</c:v>
                </c:pt>
                <c:pt idx="7">
                  <c:v>6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9B-485F-B837-3951B9ACC773}"/>
            </c:ext>
          </c:extLst>
        </c:ser>
        <c:ser>
          <c:idx val="2"/>
          <c:order val="3"/>
          <c:tx>
            <c:strRef>
              <c:f>'Sum 2024'!$AE$14</c:f>
              <c:strCache>
                <c:ptCount val="1"/>
                <c:pt idx="0">
                  <c:v>SSO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 2024'!$AF$11:$AQ$11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2024'!$AF$14:$AQ$14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9B-485F-B837-3951B9ACC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9647367"/>
        <c:axId val="1389627911"/>
      </c:barChart>
      <c:lineChart>
        <c:grouping val="standard"/>
        <c:varyColors val="0"/>
        <c:ser>
          <c:idx val="0"/>
          <c:order val="0"/>
          <c:tx>
            <c:strRef>
              <c:f>'Sum 2024'!$AE$12</c:f>
              <c:strCache>
                <c:ptCount val="1"/>
                <c:pt idx="0">
                  <c:v>Revenue Project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2024'!$AF$11:$AQ$11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2024'!$AF$12:$AQ$12</c:f>
              <c:numCache>
                <c:formatCode>#,##0</c:formatCode>
                <c:ptCount val="12"/>
                <c:pt idx="0">
                  <c:v>153238322332.44</c:v>
                </c:pt>
                <c:pt idx="1">
                  <c:v>107069815680.28</c:v>
                </c:pt>
                <c:pt idx="2">
                  <c:v>158846645854</c:v>
                </c:pt>
                <c:pt idx="3">
                  <c:v>21145067274</c:v>
                </c:pt>
                <c:pt idx="4">
                  <c:v>117613354628</c:v>
                </c:pt>
                <c:pt idx="5">
                  <c:v>24387249911</c:v>
                </c:pt>
                <c:pt idx="6">
                  <c:v>25193979370</c:v>
                </c:pt>
                <c:pt idx="7">
                  <c:v>95140991295</c:v>
                </c:pt>
                <c:pt idx="8">
                  <c:v>130158747297.10001</c:v>
                </c:pt>
                <c:pt idx="9">
                  <c:v>301470394753.20001</c:v>
                </c:pt>
                <c:pt idx="10">
                  <c:v>46006119761</c:v>
                </c:pt>
                <c:pt idx="11">
                  <c:v>1005993372947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9B-485F-B837-3951B9ACC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6896519"/>
        <c:axId val="2016898567"/>
      </c:lineChart>
      <c:catAx>
        <c:axId val="2016896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98567"/>
        <c:crosses val="autoZero"/>
        <c:auto val="1"/>
        <c:lblAlgn val="ctr"/>
        <c:lblOffset val="100"/>
        <c:noMultiLvlLbl val="0"/>
      </c:catAx>
      <c:valAx>
        <c:axId val="2016898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96519"/>
        <c:crosses val="autoZero"/>
        <c:crossBetween val="between"/>
      </c:valAx>
      <c:valAx>
        <c:axId val="13896279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647367"/>
        <c:crosses val="max"/>
        <c:crossBetween val="between"/>
      </c:valAx>
      <c:catAx>
        <c:axId val="13896473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96279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x PIC x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'Sum 2024'!$AK$19</c:f>
              <c:strCache>
                <c:ptCount val="1"/>
                <c:pt idx="0">
                  <c:v>Project Done</c:v>
                </c:pt>
              </c:strCache>
            </c:strRef>
          </c:tx>
          <c:spPr>
            <a:solidFill>
              <a:srgbClr val="BDD7E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2024'!$AL$17:$AO$17</c:f>
              <c:strCache>
                <c:ptCount val="4"/>
                <c:pt idx="0">
                  <c:v>Adi</c:v>
                </c:pt>
                <c:pt idx="1">
                  <c:v>Dwi</c:v>
                </c:pt>
                <c:pt idx="2">
                  <c:v>Duta</c:v>
                </c:pt>
                <c:pt idx="3">
                  <c:v>Gugum</c:v>
                </c:pt>
              </c:strCache>
            </c:strRef>
          </c:cat>
          <c:val>
            <c:numRef>
              <c:f>'Sum 2024'!$AL$19:$AO$19</c:f>
              <c:numCache>
                <c:formatCode>General</c:formatCode>
                <c:ptCount val="4"/>
                <c:pt idx="0">
                  <c:v>10</c:v>
                </c:pt>
                <c:pt idx="1">
                  <c:v>38</c:v>
                </c:pt>
                <c:pt idx="2">
                  <c:v>62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7E-4A8C-9517-D11FD90BEFD1}"/>
            </c:ext>
          </c:extLst>
        </c:ser>
        <c:ser>
          <c:idx val="2"/>
          <c:order val="1"/>
          <c:tx>
            <c:strRef>
              <c:f>'Sum 2024'!$AK$20</c:f>
              <c:strCache>
                <c:ptCount val="1"/>
                <c:pt idx="0">
                  <c:v>Project OGP</c:v>
                </c:pt>
              </c:strCache>
            </c:strRef>
          </c:tx>
          <c:spPr>
            <a:solidFill>
              <a:srgbClr val="F8CB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2024'!$AL$17:$AO$17</c:f>
              <c:strCache>
                <c:ptCount val="4"/>
                <c:pt idx="0">
                  <c:v>Adi</c:v>
                </c:pt>
                <c:pt idx="1">
                  <c:v>Dwi</c:v>
                </c:pt>
                <c:pt idx="2">
                  <c:v>Duta</c:v>
                </c:pt>
                <c:pt idx="3">
                  <c:v>Gugum</c:v>
                </c:pt>
              </c:strCache>
            </c:strRef>
          </c:cat>
          <c:val>
            <c:numRef>
              <c:f>'Sum 2024'!$AL$20:$AO$20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7E-4A8C-9517-D11FD90BE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2615176"/>
        <c:axId val="2132609032"/>
      </c:barChart>
      <c:lineChart>
        <c:grouping val="standard"/>
        <c:varyColors val="0"/>
        <c:ser>
          <c:idx val="3"/>
          <c:order val="2"/>
          <c:tx>
            <c:strRef>
              <c:f>'Sum 2024'!$AK$21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2024'!$AL$17:$AO$17</c:f>
              <c:strCache>
                <c:ptCount val="4"/>
                <c:pt idx="0">
                  <c:v>Adi</c:v>
                </c:pt>
                <c:pt idx="1">
                  <c:v>Dwi</c:v>
                </c:pt>
                <c:pt idx="2">
                  <c:v>Duta</c:v>
                </c:pt>
                <c:pt idx="3">
                  <c:v>Gugum</c:v>
                </c:pt>
              </c:strCache>
            </c:strRef>
          </c:cat>
          <c:val>
            <c:numRef>
              <c:f>'Sum 2024'!$AL$21:$AO$21</c:f>
              <c:numCache>
                <c:formatCode>#,##0</c:formatCode>
                <c:ptCount val="4"/>
                <c:pt idx="0">
                  <c:v>124082524515</c:v>
                </c:pt>
                <c:pt idx="1">
                  <c:v>439867703148.68005</c:v>
                </c:pt>
                <c:pt idx="2">
                  <c:v>331726604998.56</c:v>
                </c:pt>
                <c:pt idx="3">
                  <c:v>1290376508440.78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67E-4A8C-9517-D11FD90BE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600583"/>
        <c:axId val="376627207"/>
      </c:lineChart>
      <c:catAx>
        <c:axId val="376600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27207"/>
        <c:crosses val="autoZero"/>
        <c:auto val="1"/>
        <c:lblAlgn val="ctr"/>
        <c:lblOffset val="100"/>
        <c:noMultiLvlLbl val="0"/>
      </c:catAx>
      <c:valAx>
        <c:axId val="376627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00583"/>
        <c:crosses val="autoZero"/>
        <c:crossBetween val="between"/>
      </c:valAx>
      <c:valAx>
        <c:axId val="21326090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615176"/>
        <c:crosses val="max"/>
        <c:crossBetween val="between"/>
      </c:valAx>
      <c:catAx>
        <c:axId val="2132615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326090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Perkiraan Pergerakan Tagihan Jarkom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'Sum 2024'!$AE$32</c:f>
              <c:strCache>
                <c:ptCount val="1"/>
                <c:pt idx="0">
                  <c:v>Penambahan Item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2024'!$AF$29:$AQ$29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2024'!$AF$32:$AQ$32</c:f>
              <c:numCache>
                <c:formatCode>General</c:formatCode>
                <c:ptCount val="12"/>
                <c:pt idx="0">
                  <c:v>24</c:v>
                </c:pt>
                <c:pt idx="1">
                  <c:v>17</c:v>
                </c:pt>
                <c:pt idx="2">
                  <c:v>14</c:v>
                </c:pt>
                <c:pt idx="3">
                  <c:v>10</c:v>
                </c:pt>
                <c:pt idx="4">
                  <c:v>22</c:v>
                </c:pt>
                <c:pt idx="5">
                  <c:v>15</c:v>
                </c:pt>
                <c:pt idx="6">
                  <c:v>32</c:v>
                </c:pt>
                <c:pt idx="7">
                  <c:v>5</c:v>
                </c:pt>
                <c:pt idx="8">
                  <c:v>7</c:v>
                </c:pt>
                <c:pt idx="9">
                  <c:v>19</c:v>
                </c:pt>
                <c:pt idx="10">
                  <c:v>13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F3-4AF9-9E2B-C719B074A511}"/>
            </c:ext>
          </c:extLst>
        </c:ser>
        <c:ser>
          <c:idx val="3"/>
          <c:order val="3"/>
          <c:tx>
            <c:strRef>
              <c:f>'Sum 2024'!$AE$33</c:f>
              <c:strCache>
                <c:ptCount val="1"/>
                <c:pt idx="0">
                  <c:v>Pengurangan Item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2024'!$AF$29:$AQ$29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2024'!$AF$33:$AQ$33</c:f>
              <c:numCache>
                <c:formatCode>General</c:formatCode>
                <c:ptCount val="12"/>
                <c:pt idx="0">
                  <c:v>5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5</c:v>
                </c:pt>
                <c:pt idx="8">
                  <c:v>5</c:v>
                </c:pt>
                <c:pt idx="9">
                  <c:v>7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6F3-4AF9-9E2B-C719B074A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805831"/>
        <c:axId val="1422981639"/>
      </c:barChart>
      <c:lineChart>
        <c:grouping val="standard"/>
        <c:varyColors val="0"/>
        <c:ser>
          <c:idx val="0"/>
          <c:order val="0"/>
          <c:tx>
            <c:strRef>
              <c:f>'Sum 2024'!$AE$30</c:f>
              <c:strCache>
                <c:ptCount val="1"/>
                <c:pt idx="0">
                  <c:v>Perkiraan Tagihan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'Sum 2024'!$AF$29:$AQ$29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2024'!$AF$30:$AQ$30</c:f>
              <c:numCache>
                <c:formatCode>#,##0</c:formatCode>
                <c:ptCount val="12"/>
                <c:pt idx="6">
                  <c:v>3401034395</c:v>
                </c:pt>
                <c:pt idx="7">
                  <c:v>3016824118</c:v>
                </c:pt>
                <c:pt idx="8">
                  <c:v>3016824118</c:v>
                </c:pt>
                <c:pt idx="9">
                  <c:v>3016824118</c:v>
                </c:pt>
                <c:pt idx="10">
                  <c:v>3024449595</c:v>
                </c:pt>
                <c:pt idx="11">
                  <c:v>3027872245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F3-4AF9-9E2B-C719B074A511}"/>
            </c:ext>
          </c:extLst>
        </c:ser>
        <c:ser>
          <c:idx val="1"/>
          <c:order val="1"/>
          <c:tx>
            <c:strRef>
              <c:f>'Sum 2024'!$AE$31</c:f>
              <c:strCache>
                <c:ptCount val="1"/>
                <c:pt idx="0">
                  <c:v>Realisasi Tagihan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strRef>
              <c:f>'Sum 2024'!$AF$29:$AQ$29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2024'!$AF$31:$AQ$31</c:f>
              <c:numCache>
                <c:formatCode>#,##0</c:formatCode>
                <c:ptCount val="12"/>
                <c:pt idx="0">
                  <c:v>3158763225</c:v>
                </c:pt>
                <c:pt idx="1">
                  <c:v>3348353510</c:v>
                </c:pt>
                <c:pt idx="2">
                  <c:v>3267507386</c:v>
                </c:pt>
                <c:pt idx="3">
                  <c:v>3494786883</c:v>
                </c:pt>
                <c:pt idx="4">
                  <c:v>5220740536</c:v>
                </c:pt>
                <c:pt idx="5">
                  <c:v>3401034395</c:v>
                </c:pt>
                <c:pt idx="6">
                  <c:v>3325959237</c:v>
                </c:pt>
                <c:pt idx="7">
                  <c:v>3357649748</c:v>
                </c:pt>
                <c:pt idx="8">
                  <c:v>3778396919</c:v>
                </c:pt>
                <c:pt idx="9">
                  <c:v>3467967803</c:v>
                </c:pt>
                <c:pt idx="10">
                  <c:v>2993969434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F3-4AF9-9E2B-C719B074A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606472"/>
        <c:axId val="798033416"/>
      </c:lineChart>
      <c:catAx>
        <c:axId val="2132606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033416"/>
        <c:crosses val="autoZero"/>
        <c:auto val="1"/>
        <c:lblAlgn val="ctr"/>
        <c:lblOffset val="100"/>
        <c:noMultiLvlLbl val="0"/>
      </c:catAx>
      <c:valAx>
        <c:axId val="79803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606472"/>
        <c:crosses val="autoZero"/>
        <c:crossBetween val="between"/>
      </c:valAx>
      <c:valAx>
        <c:axId val="14229816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05831"/>
        <c:crosses val="max"/>
        <c:crossBetween val="between"/>
      </c:valAx>
      <c:catAx>
        <c:axId val="978058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229816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BA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2024'!$AO$35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2024'!$AN$36:$AN$37</c:f>
              <c:strCache>
                <c:ptCount val="2"/>
                <c:pt idx="0">
                  <c:v>Sudah BA</c:v>
                </c:pt>
                <c:pt idx="1">
                  <c:v>Belum BA</c:v>
                </c:pt>
              </c:strCache>
            </c:strRef>
          </c:cat>
          <c:val>
            <c:numRef>
              <c:f>'Sum 2024'!$AO$36:$AO$37</c:f>
              <c:numCache>
                <c:formatCode>General</c:formatCode>
                <c:ptCount val="2"/>
                <c:pt idx="0">
                  <c:v>132</c:v>
                </c:pt>
                <c:pt idx="1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9A-4EBC-86A8-B26560A31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6000263"/>
        <c:axId val="476002311"/>
      </c:barChart>
      <c:catAx>
        <c:axId val="476000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002311"/>
        <c:crosses val="autoZero"/>
        <c:auto val="1"/>
        <c:lblAlgn val="ctr"/>
        <c:lblOffset val="100"/>
        <c:noMultiLvlLbl val="0"/>
      </c:catAx>
      <c:valAx>
        <c:axId val="476002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000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'Sum 2025'!$AE$3</c:f>
              <c:strCache>
                <c:ptCount val="1"/>
                <c:pt idx="0">
                  <c:v>Adi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 2025'!$AF$1:$AQ$1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2025'!$AF$3:$AQ$3</c:f>
              <c:numCache>
                <c:formatCode>#,##0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E-4452-9B17-0400FAE61ECC}"/>
            </c:ext>
          </c:extLst>
        </c:ser>
        <c:ser>
          <c:idx val="2"/>
          <c:order val="2"/>
          <c:tx>
            <c:strRef>
              <c:f>'Sum 2025'!$AE$4</c:f>
              <c:strCache>
                <c:ptCount val="1"/>
                <c:pt idx="0">
                  <c:v>Dwi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 2025'!$AF$1:$AQ$1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2025'!$AF$4:$AQ$4</c:f>
              <c:numCache>
                <c:formatCode>#,##0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7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E-4452-9B17-0400FAE61ECC}"/>
            </c:ext>
          </c:extLst>
        </c:ser>
        <c:ser>
          <c:idx val="3"/>
          <c:order val="3"/>
          <c:tx>
            <c:strRef>
              <c:f>'Sum 2025'!$AE$5</c:f>
              <c:strCache>
                <c:ptCount val="1"/>
                <c:pt idx="0">
                  <c:v>Duta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 2025'!$AF$1:$AQ$1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2025'!$AF$5:$AQ$5</c:f>
              <c:numCache>
                <c:formatCode>#,##0</c:formatCode>
                <c:ptCount val="12"/>
                <c:pt idx="0">
                  <c:v>9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7</c:v>
                </c:pt>
                <c:pt idx="8">
                  <c:v>2</c:v>
                </c:pt>
                <c:pt idx="9">
                  <c:v>4</c:v>
                </c:pt>
                <c:pt idx="10">
                  <c:v>6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7E-4452-9B17-0400FAE61ECC}"/>
            </c:ext>
          </c:extLst>
        </c:ser>
        <c:ser>
          <c:idx val="4"/>
          <c:order val="4"/>
          <c:tx>
            <c:strRef>
              <c:f>'Sum 2025'!$AE$6</c:f>
              <c:strCache>
                <c:ptCount val="1"/>
                <c:pt idx="0">
                  <c:v>Gugum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'Sum 2025'!$AF$1:$AQ$1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2025'!$AF$6:$AQ$6</c:f>
              <c:numCache>
                <c:formatCode>#,##0</c:formatCode>
                <c:ptCount val="12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7E-4452-9B17-0400FAE61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8006792"/>
        <c:axId val="837975048"/>
      </c:barChart>
      <c:lineChart>
        <c:grouping val="standard"/>
        <c:varyColors val="0"/>
        <c:ser>
          <c:idx val="0"/>
          <c:order val="0"/>
          <c:tx>
            <c:strRef>
              <c:f>'Sum 2025'!$AE$2</c:f>
              <c:strCache>
                <c:ptCount val="1"/>
                <c:pt idx="0">
                  <c:v>Revenue Project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2025'!$AF$1:$AQ$1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2025'!$AF$2:$AQ$2</c:f>
              <c:numCache>
                <c:formatCode>#,##0</c:formatCode>
                <c:ptCount val="12"/>
                <c:pt idx="0">
                  <c:v>55157828477</c:v>
                </c:pt>
                <c:pt idx="1">
                  <c:v>13464557806</c:v>
                </c:pt>
                <c:pt idx="2">
                  <c:v>12525655865</c:v>
                </c:pt>
                <c:pt idx="3">
                  <c:v>4546519554</c:v>
                </c:pt>
                <c:pt idx="4">
                  <c:v>1492660000</c:v>
                </c:pt>
                <c:pt idx="5">
                  <c:v>22674005152</c:v>
                </c:pt>
                <c:pt idx="6">
                  <c:v>19665001612</c:v>
                </c:pt>
                <c:pt idx="7">
                  <c:v>22572928806</c:v>
                </c:pt>
                <c:pt idx="8">
                  <c:v>126422284045.10001</c:v>
                </c:pt>
                <c:pt idx="9">
                  <c:v>269112773390.20001</c:v>
                </c:pt>
                <c:pt idx="10">
                  <c:v>39966893707</c:v>
                </c:pt>
                <c:pt idx="11">
                  <c:v>972717736854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7E-4452-9B17-0400FAE61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095623"/>
        <c:axId val="1514098183"/>
      </c:lineChart>
      <c:catAx>
        <c:axId val="1514095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98183"/>
        <c:crosses val="autoZero"/>
        <c:auto val="1"/>
        <c:lblAlgn val="ctr"/>
        <c:lblOffset val="100"/>
        <c:noMultiLvlLbl val="0"/>
      </c:catAx>
      <c:valAx>
        <c:axId val="1514098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95623"/>
        <c:crosses val="autoZero"/>
        <c:crossBetween val="between"/>
      </c:valAx>
      <c:valAx>
        <c:axId val="837975048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006792"/>
        <c:crosses val="max"/>
        <c:crossBetween val="between"/>
      </c:valAx>
      <c:catAx>
        <c:axId val="8380067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7975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 x Jenis Project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5B-409C-A7BC-D708C1D455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5B-409C-A7BC-D708C1D455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5B-409C-A7BC-D708C1D455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 2025'!$AE$7:$AE$9</c:f>
              <c:strCache>
                <c:ptCount val="3"/>
                <c:pt idx="0">
                  <c:v>CRM Revenue</c:v>
                </c:pt>
                <c:pt idx="1">
                  <c:v>SSO Revenue</c:v>
                </c:pt>
                <c:pt idx="2">
                  <c:v>Nomor Akses Revenue</c:v>
                </c:pt>
              </c:strCache>
            </c:strRef>
          </c:cat>
          <c:val>
            <c:numRef>
              <c:f>'Sum 2025'!$AR$7:$AR$9</c:f>
              <c:numCache>
                <c:formatCode>#,##0</c:formatCode>
                <c:ptCount val="3"/>
                <c:pt idx="0">
                  <c:v>1545273675427.3</c:v>
                </c:pt>
                <c:pt idx="1">
                  <c:v>5970050205</c:v>
                </c:pt>
                <c:pt idx="2">
                  <c:v>9075119636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5B-409C-A7BC-D708C1D45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&amp;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'Sum 2025'!$AE$13</c:f>
              <c:strCache>
                <c:ptCount val="1"/>
                <c:pt idx="0">
                  <c:v>CRM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 2025'!$AF$11:$AQ$11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2025'!$AF$13:$AQ$13</c:f>
              <c:numCache>
                <c:formatCode>General</c:formatCode>
                <c:ptCount val="12"/>
                <c:pt idx="0">
                  <c:v>11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2</c:v>
                </c:pt>
                <c:pt idx="5">
                  <c:v>5</c:v>
                </c:pt>
                <c:pt idx="6">
                  <c:v>11</c:v>
                </c:pt>
                <c:pt idx="7">
                  <c:v>7</c:v>
                </c:pt>
                <c:pt idx="8">
                  <c:v>5</c:v>
                </c:pt>
                <c:pt idx="9">
                  <c:v>10</c:v>
                </c:pt>
                <c:pt idx="10">
                  <c:v>10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6-4E93-B8B4-08578567D73C}"/>
            </c:ext>
          </c:extLst>
        </c:ser>
        <c:ser>
          <c:idx val="3"/>
          <c:order val="2"/>
          <c:tx>
            <c:strRef>
              <c:f>'Sum 2025'!$AE$15</c:f>
              <c:strCache>
                <c:ptCount val="1"/>
                <c:pt idx="0">
                  <c:v>Nomor Akses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 2025'!$AF$11:$AQ$11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2025'!$AF$15:$AQ$15</c:f>
              <c:numCache>
                <c:formatCode>General</c:formatCode>
                <c:ptCount val="12"/>
                <c:pt idx="0">
                  <c:v>9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96-4E93-B8B4-08578567D73C}"/>
            </c:ext>
          </c:extLst>
        </c:ser>
        <c:ser>
          <c:idx val="2"/>
          <c:order val="3"/>
          <c:tx>
            <c:strRef>
              <c:f>'Sum 2025'!$AE$14</c:f>
              <c:strCache>
                <c:ptCount val="1"/>
                <c:pt idx="0">
                  <c:v>SSO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 2025'!$AF$11:$AQ$11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2025'!$AF$14:$AQ$14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96-4E93-B8B4-08578567D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9647367"/>
        <c:axId val="1389627911"/>
      </c:barChart>
      <c:lineChart>
        <c:grouping val="standard"/>
        <c:varyColors val="0"/>
        <c:ser>
          <c:idx val="0"/>
          <c:order val="0"/>
          <c:tx>
            <c:strRef>
              <c:f>'Sum 2025'!$AE$12</c:f>
              <c:strCache>
                <c:ptCount val="1"/>
                <c:pt idx="0">
                  <c:v>Revenue Project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2025'!$AF$11:$AQ$11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2025'!$AF$12:$AQ$12</c:f>
              <c:numCache>
                <c:formatCode>#,##0</c:formatCode>
                <c:ptCount val="12"/>
                <c:pt idx="0">
                  <c:v>55157828477</c:v>
                </c:pt>
                <c:pt idx="1">
                  <c:v>13464557806</c:v>
                </c:pt>
                <c:pt idx="2">
                  <c:v>12525655865</c:v>
                </c:pt>
                <c:pt idx="3">
                  <c:v>4546519554</c:v>
                </c:pt>
                <c:pt idx="4">
                  <c:v>1492660000</c:v>
                </c:pt>
                <c:pt idx="5">
                  <c:v>22674005152</c:v>
                </c:pt>
                <c:pt idx="6">
                  <c:v>19665001612</c:v>
                </c:pt>
                <c:pt idx="7">
                  <c:v>22572928806</c:v>
                </c:pt>
                <c:pt idx="8">
                  <c:v>126422284045.10001</c:v>
                </c:pt>
                <c:pt idx="9">
                  <c:v>269112773390.20001</c:v>
                </c:pt>
                <c:pt idx="10">
                  <c:v>39966893707</c:v>
                </c:pt>
                <c:pt idx="11">
                  <c:v>972717736854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6-4E93-B8B4-08578567D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6896519"/>
        <c:axId val="2016898567"/>
      </c:lineChart>
      <c:catAx>
        <c:axId val="2016896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98567"/>
        <c:crosses val="autoZero"/>
        <c:auto val="1"/>
        <c:lblAlgn val="ctr"/>
        <c:lblOffset val="100"/>
        <c:noMultiLvlLbl val="0"/>
      </c:catAx>
      <c:valAx>
        <c:axId val="2016898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96519"/>
        <c:crosses val="autoZero"/>
        <c:crossBetween val="between"/>
      </c:valAx>
      <c:valAx>
        <c:axId val="13896279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647367"/>
        <c:crosses val="max"/>
        <c:crossBetween val="between"/>
      </c:valAx>
      <c:catAx>
        <c:axId val="13896473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96279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x PIC x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'Sum 2025'!$AK$19</c:f>
              <c:strCache>
                <c:ptCount val="1"/>
                <c:pt idx="0">
                  <c:v>Project Done</c:v>
                </c:pt>
              </c:strCache>
            </c:strRef>
          </c:tx>
          <c:spPr>
            <a:solidFill>
              <a:srgbClr val="BDD7E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2025'!$AL$17:$AO$17</c:f>
              <c:strCache>
                <c:ptCount val="4"/>
                <c:pt idx="0">
                  <c:v>Adi</c:v>
                </c:pt>
                <c:pt idx="1">
                  <c:v>Dwi</c:v>
                </c:pt>
                <c:pt idx="2">
                  <c:v>Duta</c:v>
                </c:pt>
                <c:pt idx="3">
                  <c:v>Gugum</c:v>
                </c:pt>
              </c:strCache>
            </c:strRef>
          </c:cat>
          <c:val>
            <c:numRef>
              <c:f>'Sum 2025'!$AL$19:$AO$19</c:f>
              <c:numCache>
                <c:formatCode>General</c:formatCode>
                <c:ptCount val="4"/>
                <c:pt idx="0">
                  <c:v>3</c:v>
                </c:pt>
                <c:pt idx="1">
                  <c:v>28</c:v>
                </c:pt>
                <c:pt idx="2">
                  <c:v>48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2-4A11-8594-6D1E0C1678A2}"/>
            </c:ext>
          </c:extLst>
        </c:ser>
        <c:ser>
          <c:idx val="2"/>
          <c:order val="1"/>
          <c:tx>
            <c:strRef>
              <c:f>'Sum 2025'!$AK$20</c:f>
              <c:strCache>
                <c:ptCount val="1"/>
                <c:pt idx="0">
                  <c:v>Project OGP</c:v>
                </c:pt>
              </c:strCache>
            </c:strRef>
          </c:tx>
          <c:spPr>
            <a:solidFill>
              <a:srgbClr val="F8CB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2025'!$AL$17:$AO$17</c:f>
              <c:strCache>
                <c:ptCount val="4"/>
                <c:pt idx="0">
                  <c:v>Adi</c:v>
                </c:pt>
                <c:pt idx="1">
                  <c:v>Dwi</c:v>
                </c:pt>
                <c:pt idx="2">
                  <c:v>Duta</c:v>
                </c:pt>
                <c:pt idx="3">
                  <c:v>Gugum</c:v>
                </c:pt>
              </c:strCache>
            </c:strRef>
          </c:cat>
          <c:val>
            <c:numRef>
              <c:f>'Sum 2025'!$AL$20:$AO$20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92-4A11-8594-6D1E0C167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2615176"/>
        <c:axId val="2132609032"/>
      </c:barChart>
      <c:lineChart>
        <c:grouping val="standard"/>
        <c:varyColors val="0"/>
        <c:ser>
          <c:idx val="3"/>
          <c:order val="2"/>
          <c:tx>
            <c:strRef>
              <c:f>'Sum 2025'!$AK$21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2025'!$AL$17:$AO$17</c:f>
              <c:strCache>
                <c:ptCount val="4"/>
                <c:pt idx="0">
                  <c:v>Adi</c:v>
                </c:pt>
                <c:pt idx="1">
                  <c:v>Dwi</c:v>
                </c:pt>
                <c:pt idx="2">
                  <c:v>Duta</c:v>
                </c:pt>
                <c:pt idx="3">
                  <c:v>Gugum</c:v>
                </c:pt>
              </c:strCache>
            </c:strRef>
          </c:cat>
          <c:val>
            <c:numRef>
              <c:f>'Sum 2025'!$AL$21:$AO$21</c:f>
              <c:numCache>
                <c:formatCode>#,##0</c:formatCode>
                <c:ptCount val="4"/>
                <c:pt idx="0">
                  <c:v>49261735490</c:v>
                </c:pt>
                <c:pt idx="1">
                  <c:v>68075095374</c:v>
                </c:pt>
                <c:pt idx="2">
                  <c:v>202839789975</c:v>
                </c:pt>
                <c:pt idx="3">
                  <c:v>1240142224429.3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92-4A11-8594-6D1E0C167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600583"/>
        <c:axId val="376627207"/>
      </c:lineChart>
      <c:catAx>
        <c:axId val="376600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27207"/>
        <c:crosses val="autoZero"/>
        <c:auto val="1"/>
        <c:lblAlgn val="ctr"/>
        <c:lblOffset val="100"/>
        <c:noMultiLvlLbl val="0"/>
      </c:catAx>
      <c:valAx>
        <c:axId val="376627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00583"/>
        <c:crosses val="autoZero"/>
        <c:crossBetween val="between"/>
      </c:valAx>
      <c:valAx>
        <c:axId val="21326090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615176"/>
        <c:crosses val="max"/>
        <c:crossBetween val="between"/>
      </c:valAx>
      <c:catAx>
        <c:axId val="2132615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326090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Perkiraan Pergerakan Tagihan Jarkom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'Sum 2025'!$AE$32</c:f>
              <c:strCache>
                <c:ptCount val="1"/>
                <c:pt idx="0">
                  <c:v>Penambahan Item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2025'!$AF$29:$AQ$29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2025'!$AF$32:$AQ$32</c:f>
              <c:numCache>
                <c:formatCode>General</c:formatCode>
                <c:ptCount val="12"/>
                <c:pt idx="0">
                  <c:v>18</c:v>
                </c:pt>
                <c:pt idx="1">
                  <c:v>18</c:v>
                </c:pt>
                <c:pt idx="2">
                  <c:v>10</c:v>
                </c:pt>
                <c:pt idx="3">
                  <c:v>25</c:v>
                </c:pt>
                <c:pt idx="4">
                  <c:v>13</c:v>
                </c:pt>
                <c:pt idx="5">
                  <c:v>16</c:v>
                </c:pt>
                <c:pt idx="6">
                  <c:v>22</c:v>
                </c:pt>
                <c:pt idx="7">
                  <c:v>15</c:v>
                </c:pt>
                <c:pt idx="8">
                  <c:v>15</c:v>
                </c:pt>
                <c:pt idx="9">
                  <c:v>19</c:v>
                </c:pt>
                <c:pt idx="10">
                  <c:v>16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7-4E5C-89C3-AC3B494F5C7C}"/>
            </c:ext>
          </c:extLst>
        </c:ser>
        <c:ser>
          <c:idx val="3"/>
          <c:order val="3"/>
          <c:tx>
            <c:strRef>
              <c:f>'Sum 2025'!$AE$33</c:f>
              <c:strCache>
                <c:ptCount val="1"/>
                <c:pt idx="0">
                  <c:v>Pengurangan Item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2025'!$AF$29:$AQ$29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2025'!$AF$33:$AQ$33</c:f>
              <c:numCache>
                <c:formatCode>General</c:formatCode>
                <c:ptCount val="12"/>
                <c:pt idx="0">
                  <c:v>6</c:v>
                </c:pt>
                <c:pt idx="1">
                  <c:v>18</c:v>
                </c:pt>
                <c:pt idx="2">
                  <c:v>28</c:v>
                </c:pt>
                <c:pt idx="3">
                  <c:v>8</c:v>
                </c:pt>
                <c:pt idx="4">
                  <c:v>22</c:v>
                </c:pt>
                <c:pt idx="5">
                  <c:v>7</c:v>
                </c:pt>
                <c:pt idx="6">
                  <c:v>6</c:v>
                </c:pt>
                <c:pt idx="7">
                  <c:v>7</c:v>
                </c:pt>
                <c:pt idx="8">
                  <c:v>4</c:v>
                </c:pt>
                <c:pt idx="9">
                  <c:v>10</c:v>
                </c:pt>
                <c:pt idx="10">
                  <c:v>11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B7-4E5C-89C3-AC3B494F5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805831"/>
        <c:axId val="1422981639"/>
      </c:barChart>
      <c:lineChart>
        <c:grouping val="standard"/>
        <c:varyColors val="0"/>
        <c:ser>
          <c:idx val="0"/>
          <c:order val="0"/>
          <c:tx>
            <c:strRef>
              <c:f>'Sum 2025'!$AE$30</c:f>
              <c:strCache>
                <c:ptCount val="1"/>
                <c:pt idx="0">
                  <c:v>Perkiraan Tagihan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'Sum 2025'!$AF$29:$AQ$29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2025'!$AF$30:$AQ$30</c:f>
              <c:numCache>
                <c:formatCode>#,##0</c:formatCode>
                <c:ptCount val="12"/>
                <c:pt idx="0">
                  <c:v>3058255645</c:v>
                </c:pt>
                <c:pt idx="1">
                  <c:v>3079716645</c:v>
                </c:pt>
                <c:pt idx="2">
                  <c:v>3110733145</c:v>
                </c:pt>
                <c:pt idx="3">
                  <c:v>2978680820</c:v>
                </c:pt>
                <c:pt idx="4">
                  <c:v>3098964286</c:v>
                </c:pt>
                <c:pt idx="5">
                  <c:v>3040664452</c:v>
                </c:pt>
                <c:pt idx="6">
                  <c:v>3045657952</c:v>
                </c:pt>
                <c:pt idx="7">
                  <c:v>3069511952</c:v>
                </c:pt>
                <c:pt idx="8">
                  <c:v>3060358952</c:v>
                </c:pt>
                <c:pt idx="9">
                  <c:v>3072555352</c:v>
                </c:pt>
                <c:pt idx="10">
                  <c:v>3072375352</c:v>
                </c:pt>
                <c:pt idx="11">
                  <c:v>3072375352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B7-4E5C-89C3-AC3B494F5C7C}"/>
            </c:ext>
          </c:extLst>
        </c:ser>
        <c:ser>
          <c:idx val="1"/>
          <c:order val="1"/>
          <c:tx>
            <c:strRef>
              <c:f>'Sum 2025'!$AE$31</c:f>
              <c:strCache>
                <c:ptCount val="1"/>
                <c:pt idx="0">
                  <c:v>Realisasi Tagihan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strRef>
              <c:f>'Sum 2025'!$AF$29:$AQ$29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2025'!$AF$31:$AQ$31</c:f>
              <c:numCache>
                <c:formatCode>#,##0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B7-4E5C-89C3-AC3B494F5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606472"/>
        <c:axId val="798033416"/>
      </c:lineChart>
      <c:catAx>
        <c:axId val="2132606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033416"/>
        <c:crosses val="autoZero"/>
        <c:auto val="1"/>
        <c:lblAlgn val="ctr"/>
        <c:lblOffset val="100"/>
        <c:noMultiLvlLbl val="0"/>
      </c:catAx>
      <c:valAx>
        <c:axId val="79803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606472"/>
        <c:crosses val="autoZero"/>
        <c:crossBetween val="between"/>
      </c:valAx>
      <c:valAx>
        <c:axId val="14229816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05831"/>
        <c:crosses val="max"/>
        <c:crossBetween val="between"/>
      </c:valAx>
      <c:catAx>
        <c:axId val="978058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229816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Network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2025'!$AO$35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2025'!$AN$36:$AN$37</c:f>
              <c:strCache>
                <c:ptCount val="2"/>
                <c:pt idx="0">
                  <c:v>Sudah BA</c:v>
                </c:pt>
                <c:pt idx="1">
                  <c:v>Belum BA</c:v>
                </c:pt>
              </c:strCache>
            </c:strRef>
          </c:cat>
          <c:val>
            <c:numRef>
              <c:f>'Sum 2025'!$AO$36:$AO$37</c:f>
              <c:numCache>
                <c:formatCode>General</c:formatCode>
                <c:ptCount val="2"/>
                <c:pt idx="0">
                  <c:v>38</c:v>
                </c:pt>
                <c:pt idx="1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E9-438E-89B6-72640EF9C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4553352"/>
        <c:axId val="1994555400"/>
      </c:barChart>
      <c:catAx>
        <c:axId val="1994553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555400"/>
        <c:crosses val="autoZero"/>
        <c:auto val="1"/>
        <c:lblAlgn val="ctr"/>
        <c:lblOffset val="100"/>
        <c:noMultiLvlLbl val="0"/>
      </c:catAx>
      <c:valAx>
        <c:axId val="199455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553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Workload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 2025'!$AE$58</c:f>
              <c:strCache>
                <c:ptCount val="1"/>
                <c:pt idx="0">
                  <c:v>Order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2025'!$AF$57:$AI$57</c:f>
              <c:strCache>
                <c:ptCount val="4"/>
                <c:pt idx="0">
                  <c:v>Adi</c:v>
                </c:pt>
                <c:pt idx="1">
                  <c:v>Dwi</c:v>
                </c:pt>
                <c:pt idx="2">
                  <c:v>Duta</c:v>
                </c:pt>
                <c:pt idx="3">
                  <c:v>Gugum</c:v>
                </c:pt>
              </c:strCache>
            </c:strRef>
          </c:cat>
          <c:val>
            <c:numRef>
              <c:f>'Sum 2025'!$AF$58:$AI$58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9-4B22-8530-5918B749440E}"/>
            </c:ext>
          </c:extLst>
        </c:ser>
        <c:ser>
          <c:idx val="1"/>
          <c:order val="1"/>
          <c:tx>
            <c:strRef>
              <c:f>'Sum 2025'!$AE$59</c:f>
              <c:strCache>
                <c:ptCount val="1"/>
                <c:pt idx="0">
                  <c:v>Konfigurasi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2025'!$AF$57:$AI$57</c:f>
              <c:strCache>
                <c:ptCount val="4"/>
                <c:pt idx="0">
                  <c:v>Adi</c:v>
                </c:pt>
                <c:pt idx="1">
                  <c:v>Dwi</c:v>
                </c:pt>
                <c:pt idx="2">
                  <c:v>Duta</c:v>
                </c:pt>
                <c:pt idx="3">
                  <c:v>Gugum</c:v>
                </c:pt>
              </c:strCache>
            </c:strRef>
          </c:cat>
          <c:val>
            <c:numRef>
              <c:f>'Sum 2025'!$AF$59:$AI$59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C9-4B22-8530-5918B749440E}"/>
            </c:ext>
          </c:extLst>
        </c:ser>
        <c:ser>
          <c:idx val="2"/>
          <c:order val="2"/>
          <c:tx>
            <c:strRef>
              <c:f>'Sum 2025'!$AE$60</c:f>
              <c:strCache>
                <c:ptCount val="1"/>
                <c:pt idx="0">
                  <c:v>Integrasi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2025'!$AF$57:$AI$57</c:f>
              <c:strCache>
                <c:ptCount val="4"/>
                <c:pt idx="0">
                  <c:v>Adi</c:v>
                </c:pt>
                <c:pt idx="1">
                  <c:v>Dwi</c:v>
                </c:pt>
                <c:pt idx="2">
                  <c:v>Duta</c:v>
                </c:pt>
                <c:pt idx="3">
                  <c:v>Gugum</c:v>
                </c:pt>
              </c:strCache>
            </c:strRef>
          </c:cat>
          <c:val>
            <c:numRef>
              <c:f>'Sum 2025'!$AF$60:$AI$60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C9-4B22-8530-5918B749440E}"/>
            </c:ext>
          </c:extLst>
        </c:ser>
        <c:ser>
          <c:idx val="3"/>
          <c:order val="3"/>
          <c:tx>
            <c:v>Monitoring &amp; Tshoot</c:v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2025'!$AF$57:$AI$57</c:f>
              <c:strCache>
                <c:ptCount val="4"/>
                <c:pt idx="0">
                  <c:v>Adi</c:v>
                </c:pt>
                <c:pt idx="1">
                  <c:v>Dwi</c:v>
                </c:pt>
                <c:pt idx="2">
                  <c:v>Duta</c:v>
                </c:pt>
                <c:pt idx="3">
                  <c:v>Gugum</c:v>
                </c:pt>
              </c:strCache>
            </c:strRef>
          </c:cat>
          <c:val>
            <c:numRef>
              <c:f>'Sum 2025'!$AF$61:$AI$61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C9-4B22-8530-5918B7494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9542535"/>
        <c:axId val="1219553799"/>
      </c:barChart>
      <c:catAx>
        <c:axId val="1219542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553799"/>
        <c:crosses val="autoZero"/>
        <c:auto val="1"/>
        <c:lblAlgn val="ctr"/>
        <c:lblOffset val="100"/>
        <c:noMultiLvlLbl val="0"/>
      </c:catAx>
      <c:valAx>
        <c:axId val="1219553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542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'Sum 2026'!$AE$3</c:f>
              <c:strCache>
                <c:ptCount val="1"/>
                <c:pt idx="0">
                  <c:v>Adi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 2026'!$AF$1:$AQ$1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2026'!$AF$3:$AQ$3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15-4F11-90BF-1DD548F7ABFF}"/>
            </c:ext>
          </c:extLst>
        </c:ser>
        <c:ser>
          <c:idx val="2"/>
          <c:order val="2"/>
          <c:tx>
            <c:strRef>
              <c:f>'Sum 2026'!$AE$4</c:f>
              <c:strCache>
                <c:ptCount val="1"/>
                <c:pt idx="0">
                  <c:v>Dwi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 2026'!$AF$1:$AQ$1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2026'!$AF$4:$AQ$4</c:f>
              <c:numCache>
                <c:formatCode>#,##0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15-4F11-90BF-1DD548F7ABFF}"/>
            </c:ext>
          </c:extLst>
        </c:ser>
        <c:ser>
          <c:idx val="3"/>
          <c:order val="3"/>
          <c:tx>
            <c:strRef>
              <c:f>'Sum 2026'!$AE$5</c:f>
              <c:strCache>
                <c:ptCount val="1"/>
                <c:pt idx="0">
                  <c:v>Duta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 2026'!$AF$1:$AQ$1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2026'!$AF$5:$AQ$5</c:f>
              <c:numCache>
                <c:formatCode>#,##0</c:formatCode>
                <c:ptCount val="12"/>
                <c:pt idx="0">
                  <c:v>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15-4F11-90BF-1DD548F7ABFF}"/>
            </c:ext>
          </c:extLst>
        </c:ser>
        <c:ser>
          <c:idx val="4"/>
          <c:order val="4"/>
          <c:tx>
            <c:strRef>
              <c:f>'Sum 2026'!$AE$6</c:f>
              <c:strCache>
                <c:ptCount val="1"/>
                <c:pt idx="0">
                  <c:v>Gugum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'Sum 2026'!$AF$1:$AQ$1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2026'!$AF$6:$AQ$6</c:f>
              <c:numCache>
                <c:formatCode>#,##0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7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15-4F11-90BF-1DD548F7A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8006792"/>
        <c:axId val="837975048"/>
      </c:barChart>
      <c:lineChart>
        <c:grouping val="standard"/>
        <c:varyColors val="0"/>
        <c:ser>
          <c:idx val="0"/>
          <c:order val="0"/>
          <c:tx>
            <c:strRef>
              <c:f>'Sum 2026'!$AE$2</c:f>
              <c:strCache>
                <c:ptCount val="1"/>
                <c:pt idx="0">
                  <c:v>Revenue Project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2026'!$AF$1:$AQ$1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2026'!$AF$2:$AQ$2</c:f>
              <c:numCache>
                <c:formatCode>#,##0</c:formatCode>
                <c:ptCount val="12"/>
                <c:pt idx="0">
                  <c:v>42051389410.440002</c:v>
                </c:pt>
                <c:pt idx="1">
                  <c:v>50194925471.279999</c:v>
                </c:pt>
                <c:pt idx="2">
                  <c:v>122904058778</c:v>
                </c:pt>
                <c:pt idx="3">
                  <c:v>890265900</c:v>
                </c:pt>
                <c:pt idx="4">
                  <c:v>137200000</c:v>
                </c:pt>
                <c:pt idx="5">
                  <c:v>401920000</c:v>
                </c:pt>
                <c:pt idx="6">
                  <c:v>1683908000</c:v>
                </c:pt>
                <c:pt idx="7">
                  <c:v>142144000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15-4F11-90BF-1DD548F7A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095623"/>
        <c:axId val="1514098183"/>
      </c:lineChart>
      <c:catAx>
        <c:axId val="1514095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98183"/>
        <c:crosses val="autoZero"/>
        <c:auto val="1"/>
        <c:lblAlgn val="ctr"/>
        <c:lblOffset val="100"/>
        <c:noMultiLvlLbl val="0"/>
      </c:catAx>
      <c:valAx>
        <c:axId val="1514098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95623"/>
        <c:crosses val="autoZero"/>
        <c:crossBetween val="between"/>
      </c:valAx>
      <c:valAx>
        <c:axId val="837975048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006792"/>
        <c:crosses val="max"/>
        <c:crossBetween val="between"/>
      </c:valAx>
      <c:catAx>
        <c:axId val="8380067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7975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 x Jenis Project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75-467B-85BF-84DB727A7B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75-467B-85BF-84DB727A7B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75-467B-85BF-84DB727A7B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 2026'!$AE$7:$AE$9</c:f>
              <c:strCache>
                <c:ptCount val="3"/>
                <c:pt idx="0">
                  <c:v>CRM Revenue</c:v>
                </c:pt>
                <c:pt idx="1">
                  <c:v>SSO Revenue</c:v>
                </c:pt>
                <c:pt idx="2">
                  <c:v>Nomor Akses Revenue</c:v>
                </c:pt>
              </c:strCache>
            </c:strRef>
          </c:cat>
          <c:val>
            <c:numRef>
              <c:f>'Sum 2026'!$AR$7:$AR$9</c:f>
              <c:numCache>
                <c:formatCode>#,##0</c:formatCode>
                <c:ptCount val="3"/>
                <c:pt idx="0">
                  <c:v>218270231559.72</c:v>
                </c:pt>
                <c:pt idx="1">
                  <c:v>0</c:v>
                </c:pt>
                <c:pt idx="2">
                  <c:v>135580000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75-467B-85BF-84DB727A7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&amp;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'Sum 2026'!$AE$13</c:f>
              <c:strCache>
                <c:ptCount val="1"/>
                <c:pt idx="0">
                  <c:v>CRM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 2026'!$AF$11:$AQ$11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2026'!$AF$13:$AQ$13</c:f>
              <c:numCache>
                <c:formatCode>General</c:formatCode>
                <c:ptCount val="12"/>
                <c:pt idx="0">
                  <c:v>11</c:v>
                </c:pt>
                <c:pt idx="1">
                  <c:v>8</c:v>
                </c:pt>
                <c:pt idx="2">
                  <c:v>8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9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D-4606-9376-87109DC4C411}"/>
            </c:ext>
          </c:extLst>
        </c:ser>
        <c:ser>
          <c:idx val="3"/>
          <c:order val="2"/>
          <c:tx>
            <c:strRef>
              <c:f>'Sum 2026'!$AE$15</c:f>
              <c:strCache>
                <c:ptCount val="1"/>
                <c:pt idx="0">
                  <c:v>Nomor Akses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 2026'!$AF$11:$AQ$11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2026'!$AF$15:$AQ$15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1D-4606-9376-87109DC4C411}"/>
            </c:ext>
          </c:extLst>
        </c:ser>
        <c:ser>
          <c:idx val="2"/>
          <c:order val="3"/>
          <c:tx>
            <c:strRef>
              <c:f>'Sum 2026'!$AE$14</c:f>
              <c:strCache>
                <c:ptCount val="1"/>
                <c:pt idx="0">
                  <c:v>SSO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 2026'!$AF$11:$AQ$11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2026'!$AF$14:$AQ$14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1D-4606-9376-87109DC4C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9647367"/>
        <c:axId val="1389627911"/>
      </c:barChart>
      <c:lineChart>
        <c:grouping val="standard"/>
        <c:varyColors val="0"/>
        <c:ser>
          <c:idx val="0"/>
          <c:order val="0"/>
          <c:tx>
            <c:strRef>
              <c:f>'Sum 2026'!$AE$12</c:f>
              <c:strCache>
                <c:ptCount val="1"/>
                <c:pt idx="0">
                  <c:v>Revenue Project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2026'!$AF$11:$AQ$11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2026'!$AF$12:$AQ$12</c:f>
              <c:numCache>
                <c:formatCode>#,##0</c:formatCode>
                <c:ptCount val="12"/>
                <c:pt idx="0">
                  <c:v>42051389410.440002</c:v>
                </c:pt>
                <c:pt idx="1">
                  <c:v>50194925471.279999</c:v>
                </c:pt>
                <c:pt idx="2">
                  <c:v>122904058778</c:v>
                </c:pt>
                <c:pt idx="3">
                  <c:v>890265900</c:v>
                </c:pt>
                <c:pt idx="4">
                  <c:v>137200000</c:v>
                </c:pt>
                <c:pt idx="5">
                  <c:v>401920000</c:v>
                </c:pt>
                <c:pt idx="6">
                  <c:v>1683908000</c:v>
                </c:pt>
                <c:pt idx="7">
                  <c:v>142144000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1D-4606-9376-87109DC4C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6896519"/>
        <c:axId val="2016898567"/>
      </c:lineChart>
      <c:catAx>
        <c:axId val="2016896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98567"/>
        <c:crosses val="autoZero"/>
        <c:auto val="1"/>
        <c:lblAlgn val="ctr"/>
        <c:lblOffset val="100"/>
        <c:noMultiLvlLbl val="0"/>
      </c:catAx>
      <c:valAx>
        <c:axId val="2016898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96519"/>
        <c:crosses val="autoZero"/>
        <c:crossBetween val="between"/>
      </c:valAx>
      <c:valAx>
        <c:axId val="13896279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647367"/>
        <c:crosses val="max"/>
        <c:crossBetween val="between"/>
      </c:valAx>
      <c:catAx>
        <c:axId val="13896473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96279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x PIC x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'Sum 2026'!$AK$19</c:f>
              <c:strCache>
                <c:ptCount val="1"/>
                <c:pt idx="0">
                  <c:v>Project Done</c:v>
                </c:pt>
              </c:strCache>
            </c:strRef>
          </c:tx>
          <c:spPr>
            <a:solidFill>
              <a:srgbClr val="BDD7E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2026'!$AL$17:$AO$17</c:f>
              <c:strCache>
                <c:ptCount val="4"/>
                <c:pt idx="0">
                  <c:v>Adi</c:v>
                </c:pt>
                <c:pt idx="1">
                  <c:v>Dwi</c:v>
                </c:pt>
                <c:pt idx="2">
                  <c:v>Duta</c:v>
                </c:pt>
                <c:pt idx="3">
                  <c:v>Gugum</c:v>
                </c:pt>
              </c:strCache>
            </c:strRef>
          </c:cat>
          <c:val>
            <c:numRef>
              <c:f>'Sum 2026'!$AL$19:$AO$19</c:f>
              <c:numCache>
                <c:formatCode>General</c:formatCode>
                <c:ptCount val="4"/>
                <c:pt idx="0">
                  <c:v>0</c:v>
                </c:pt>
                <c:pt idx="1">
                  <c:v>11</c:v>
                </c:pt>
                <c:pt idx="2">
                  <c:v>4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3-4BE7-AAAD-03CF50F763C0}"/>
            </c:ext>
          </c:extLst>
        </c:ser>
        <c:ser>
          <c:idx val="2"/>
          <c:order val="1"/>
          <c:tx>
            <c:strRef>
              <c:f>'Sum 2026'!$AK$20</c:f>
              <c:strCache>
                <c:ptCount val="1"/>
                <c:pt idx="0">
                  <c:v>Project OGP</c:v>
                </c:pt>
              </c:strCache>
            </c:strRef>
          </c:tx>
          <c:spPr>
            <a:solidFill>
              <a:srgbClr val="F8CB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2026'!$AL$17:$AO$17</c:f>
              <c:strCache>
                <c:ptCount val="4"/>
                <c:pt idx="0">
                  <c:v>Adi</c:v>
                </c:pt>
                <c:pt idx="1">
                  <c:v>Dwi</c:v>
                </c:pt>
                <c:pt idx="2">
                  <c:v>Duta</c:v>
                </c:pt>
                <c:pt idx="3">
                  <c:v>Gugum</c:v>
                </c:pt>
              </c:strCache>
            </c:strRef>
          </c:cat>
          <c:val>
            <c:numRef>
              <c:f>'Sum 2026'!$AL$20:$AO$20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E3-4BE7-AAAD-03CF50F76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2615176"/>
        <c:axId val="2132609032"/>
      </c:barChart>
      <c:lineChart>
        <c:grouping val="standard"/>
        <c:varyColors val="0"/>
        <c:ser>
          <c:idx val="3"/>
          <c:order val="2"/>
          <c:tx>
            <c:strRef>
              <c:f>'Sum 2026'!$AK$21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2026'!$AL$17:$AO$17</c:f>
              <c:strCache>
                <c:ptCount val="4"/>
                <c:pt idx="0">
                  <c:v>Adi</c:v>
                </c:pt>
                <c:pt idx="1">
                  <c:v>Dwi</c:v>
                </c:pt>
                <c:pt idx="2">
                  <c:v>Duta</c:v>
                </c:pt>
                <c:pt idx="3">
                  <c:v>Gugum</c:v>
                </c:pt>
              </c:strCache>
            </c:strRef>
          </c:cat>
          <c:val>
            <c:numRef>
              <c:f>'Sum 2026'!$AL$21:$AO$21</c:f>
              <c:numCache>
                <c:formatCode>#,##0</c:formatCode>
                <c:ptCount val="4"/>
                <c:pt idx="0">
                  <c:v>0</c:v>
                </c:pt>
                <c:pt idx="1">
                  <c:v>172162817869.67999</c:v>
                </c:pt>
                <c:pt idx="2">
                  <c:v>26682428370.560001</c:v>
                </c:pt>
                <c:pt idx="3">
                  <c:v>19349845319.48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E3-4BE7-AAAD-03CF50F76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600583"/>
        <c:axId val="376627207"/>
      </c:lineChart>
      <c:catAx>
        <c:axId val="376600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27207"/>
        <c:crosses val="autoZero"/>
        <c:auto val="1"/>
        <c:lblAlgn val="ctr"/>
        <c:lblOffset val="100"/>
        <c:noMultiLvlLbl val="0"/>
      </c:catAx>
      <c:valAx>
        <c:axId val="376627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00583"/>
        <c:crosses val="autoZero"/>
        <c:crossBetween val="between"/>
      </c:valAx>
      <c:valAx>
        <c:axId val="21326090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615176"/>
        <c:crosses val="max"/>
        <c:crossBetween val="between"/>
      </c:valAx>
      <c:catAx>
        <c:axId val="2132615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326090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Perkiraan Pergerakan Tagihan Jarkom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'Sum 2026'!$AE$32</c:f>
              <c:strCache>
                <c:ptCount val="1"/>
                <c:pt idx="0">
                  <c:v>Penambahan Item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2026'!$AF$29:$AQ$29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2026'!$AF$32:$AQ$32</c:f>
              <c:numCache>
                <c:formatCode>General</c:formatCode>
                <c:ptCount val="12"/>
                <c:pt idx="0">
                  <c:v>10</c:v>
                </c:pt>
                <c:pt idx="1">
                  <c:v>8</c:v>
                </c:pt>
                <c:pt idx="2">
                  <c:v>18</c:v>
                </c:pt>
                <c:pt idx="3">
                  <c:v>2</c:v>
                </c:pt>
                <c:pt idx="4">
                  <c:v>7</c:v>
                </c:pt>
                <c:pt idx="5">
                  <c:v>6</c:v>
                </c:pt>
                <c:pt idx="6">
                  <c:v>15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6-4185-8336-8283158CEE51}"/>
            </c:ext>
          </c:extLst>
        </c:ser>
        <c:ser>
          <c:idx val="3"/>
          <c:order val="3"/>
          <c:tx>
            <c:strRef>
              <c:f>'Sum 2026'!$AE$33</c:f>
              <c:strCache>
                <c:ptCount val="1"/>
                <c:pt idx="0">
                  <c:v>Pengurangan Item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2026'!$AF$29:$AQ$29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2026'!$AF$33:$AQ$33</c:f>
              <c:numCache>
                <c:formatCode>General</c:formatCode>
                <c:ptCount val="12"/>
                <c:pt idx="0">
                  <c:v>10</c:v>
                </c:pt>
                <c:pt idx="1">
                  <c:v>1</c:v>
                </c:pt>
                <c:pt idx="2">
                  <c:v>2</c:v>
                </c:pt>
                <c:pt idx="3">
                  <c:v>16</c:v>
                </c:pt>
                <c:pt idx="4">
                  <c:v>3</c:v>
                </c:pt>
                <c:pt idx="5">
                  <c:v>8</c:v>
                </c:pt>
                <c:pt idx="6">
                  <c:v>16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46-4185-8336-8283158CE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805831"/>
        <c:axId val="1422981639"/>
      </c:barChart>
      <c:lineChart>
        <c:grouping val="standard"/>
        <c:varyColors val="0"/>
        <c:ser>
          <c:idx val="0"/>
          <c:order val="0"/>
          <c:tx>
            <c:strRef>
              <c:f>'Sum 2026'!$AE$30</c:f>
              <c:strCache>
                <c:ptCount val="1"/>
                <c:pt idx="0">
                  <c:v>Perkiraan Tagihan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'Sum 2026'!$AF$29:$AQ$29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2026'!$AF$30:$AQ$30</c:f>
              <c:numCache>
                <c:formatCode>#,##0</c:formatCode>
                <c:ptCount val="12"/>
                <c:pt idx="0">
                  <c:v>3058255645</c:v>
                </c:pt>
                <c:pt idx="1">
                  <c:v>3058255645</c:v>
                </c:pt>
                <c:pt idx="2">
                  <c:v>3058255645</c:v>
                </c:pt>
                <c:pt idx="3">
                  <c:v>3058255645</c:v>
                </c:pt>
                <c:pt idx="4">
                  <c:v>3058255645</c:v>
                </c:pt>
                <c:pt idx="5">
                  <c:v>3058255645</c:v>
                </c:pt>
                <c:pt idx="6">
                  <c:v>3058255645</c:v>
                </c:pt>
                <c:pt idx="7">
                  <c:v>3058255645</c:v>
                </c:pt>
                <c:pt idx="8">
                  <c:v>3058255645</c:v>
                </c:pt>
                <c:pt idx="9">
                  <c:v>3058255645</c:v>
                </c:pt>
                <c:pt idx="10">
                  <c:v>3058255645</c:v>
                </c:pt>
                <c:pt idx="11">
                  <c:v>3058255645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46-4185-8336-8283158CEE51}"/>
            </c:ext>
          </c:extLst>
        </c:ser>
        <c:ser>
          <c:idx val="1"/>
          <c:order val="1"/>
          <c:tx>
            <c:strRef>
              <c:f>'Sum 2026'!$AE$31</c:f>
              <c:strCache>
                <c:ptCount val="1"/>
                <c:pt idx="0">
                  <c:v>Realisasi Tagihan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strRef>
              <c:f>'Sum 2026'!$AF$29:$AQ$29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'Sum 2026'!$AF$31:$AQ$31</c:f>
              <c:numCache>
                <c:formatCode>#,##0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46-4185-8336-8283158CE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606472"/>
        <c:axId val="798033416"/>
      </c:lineChart>
      <c:catAx>
        <c:axId val="2132606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033416"/>
        <c:crosses val="autoZero"/>
        <c:auto val="1"/>
        <c:lblAlgn val="ctr"/>
        <c:lblOffset val="100"/>
        <c:noMultiLvlLbl val="0"/>
      </c:catAx>
      <c:valAx>
        <c:axId val="79803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606472"/>
        <c:crosses val="autoZero"/>
        <c:crossBetween val="between"/>
      </c:valAx>
      <c:valAx>
        <c:axId val="14229816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05831"/>
        <c:crosses val="max"/>
        <c:crossBetween val="between"/>
      </c:valAx>
      <c:catAx>
        <c:axId val="978058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229816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Network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2026'!$AO$35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2026'!$AN$36:$AN$37</c:f>
              <c:strCache>
                <c:ptCount val="2"/>
                <c:pt idx="0">
                  <c:v>Open</c:v>
                </c:pt>
                <c:pt idx="1">
                  <c:v>Close</c:v>
                </c:pt>
              </c:strCache>
            </c:strRef>
          </c:cat>
          <c:val>
            <c:numRef>
              <c:f>'Sum 2026'!$AO$36:$AO$37</c:f>
              <c:numCache>
                <c:formatCode>General</c:formatCode>
                <c:ptCount val="2"/>
                <c:pt idx="0">
                  <c:v>17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C-4098-B8BD-923AAA3B9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4553352"/>
        <c:axId val="1994555400"/>
      </c:barChart>
      <c:catAx>
        <c:axId val="1994553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555400"/>
        <c:crosses val="autoZero"/>
        <c:auto val="1"/>
        <c:lblAlgn val="ctr"/>
        <c:lblOffset val="100"/>
        <c:noMultiLvlLbl val="0"/>
      </c:catAx>
      <c:valAx>
        <c:axId val="199455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553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Workload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 2026'!$AE$58</c:f>
              <c:strCache>
                <c:ptCount val="1"/>
                <c:pt idx="0">
                  <c:v>Order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2026'!$AF$57:$AI$57</c:f>
              <c:strCache>
                <c:ptCount val="4"/>
                <c:pt idx="0">
                  <c:v>Adi</c:v>
                </c:pt>
                <c:pt idx="1">
                  <c:v>Dwi</c:v>
                </c:pt>
                <c:pt idx="2">
                  <c:v>Duta</c:v>
                </c:pt>
                <c:pt idx="3">
                  <c:v>Gugum</c:v>
                </c:pt>
              </c:strCache>
            </c:strRef>
          </c:cat>
          <c:val>
            <c:numRef>
              <c:f>'Sum 2026'!$AF$58:$AI$58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2-4034-B4B9-C779DFEC6188}"/>
            </c:ext>
          </c:extLst>
        </c:ser>
        <c:ser>
          <c:idx val="1"/>
          <c:order val="1"/>
          <c:tx>
            <c:strRef>
              <c:f>'Sum 2026'!$AE$59</c:f>
              <c:strCache>
                <c:ptCount val="1"/>
                <c:pt idx="0">
                  <c:v>Konfigurasi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2026'!$AF$57:$AI$57</c:f>
              <c:strCache>
                <c:ptCount val="4"/>
                <c:pt idx="0">
                  <c:v>Adi</c:v>
                </c:pt>
                <c:pt idx="1">
                  <c:v>Dwi</c:v>
                </c:pt>
                <c:pt idx="2">
                  <c:v>Duta</c:v>
                </c:pt>
                <c:pt idx="3">
                  <c:v>Gugum</c:v>
                </c:pt>
              </c:strCache>
            </c:strRef>
          </c:cat>
          <c:val>
            <c:numRef>
              <c:f>'Sum 2026'!$AF$59:$AI$59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72-4034-B4B9-C779DFEC6188}"/>
            </c:ext>
          </c:extLst>
        </c:ser>
        <c:ser>
          <c:idx val="2"/>
          <c:order val="2"/>
          <c:tx>
            <c:strRef>
              <c:f>'Sum 2026'!$AE$60</c:f>
              <c:strCache>
                <c:ptCount val="1"/>
                <c:pt idx="0">
                  <c:v>Integrasi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2026'!$AF$57:$AI$57</c:f>
              <c:strCache>
                <c:ptCount val="4"/>
                <c:pt idx="0">
                  <c:v>Adi</c:v>
                </c:pt>
                <c:pt idx="1">
                  <c:v>Dwi</c:v>
                </c:pt>
                <c:pt idx="2">
                  <c:v>Duta</c:v>
                </c:pt>
                <c:pt idx="3">
                  <c:v>Gugum</c:v>
                </c:pt>
              </c:strCache>
            </c:strRef>
          </c:cat>
          <c:val>
            <c:numRef>
              <c:f>'Sum 2026'!$AF$60:$AI$60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72-4034-B4B9-C779DFEC6188}"/>
            </c:ext>
          </c:extLst>
        </c:ser>
        <c:ser>
          <c:idx val="3"/>
          <c:order val="3"/>
          <c:tx>
            <c:v>Monitoring &amp; Tshoot</c:v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2026'!$AF$57:$AI$57</c:f>
              <c:strCache>
                <c:ptCount val="4"/>
                <c:pt idx="0">
                  <c:v>Adi</c:v>
                </c:pt>
                <c:pt idx="1">
                  <c:v>Dwi</c:v>
                </c:pt>
                <c:pt idx="2">
                  <c:v>Duta</c:v>
                </c:pt>
                <c:pt idx="3">
                  <c:v>Gugum</c:v>
                </c:pt>
              </c:strCache>
            </c:strRef>
          </c:cat>
          <c:val>
            <c:numRef>
              <c:f>'Sum 2026'!$AF$61:$AI$61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72-4034-B4B9-C779DFEC6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9542535"/>
        <c:axId val="1219553799"/>
      </c:barChart>
      <c:catAx>
        <c:axId val="1219542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553799"/>
        <c:crosses val="autoZero"/>
        <c:auto val="1"/>
        <c:lblAlgn val="ctr"/>
        <c:lblOffset val="100"/>
        <c:noMultiLvlLbl val="0"/>
      </c:catAx>
      <c:valAx>
        <c:axId val="1219553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542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118</xdr:row>
      <xdr:rowOff>0</xdr:rowOff>
    </xdr:from>
    <xdr:to>
      <xdr:col>4</xdr:col>
      <xdr:colOff>9525</xdr:colOff>
      <xdr:row>159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3C9A19-ED7F-473F-976C-3697A9550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" y="690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7</xdr:col>
      <xdr:colOff>9525</xdr:colOff>
      <xdr:row>159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D14AA6-401F-48E4-B3E1-F72553349E1D}"/>
            </a:ext>
            <a:ext uri="{147F2762-F138-4A5C-976F-8EAC2B608ADB}">
              <a16:predDERef xmlns:a16="http://schemas.microsoft.com/office/drawing/2014/main" pred="{043C9A19-ED7F-473F-976C-3697A9550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690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118</xdr:row>
      <xdr:rowOff>0</xdr:rowOff>
    </xdr:from>
    <xdr:to>
      <xdr:col>7</xdr:col>
      <xdr:colOff>9525</xdr:colOff>
      <xdr:row>159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46C910-AB60-4E1C-9841-AEB0873E08AE}"/>
            </a:ext>
            <a:ext uri="{147F2762-F138-4A5C-976F-8EAC2B608ADB}">
              <a16:predDERef xmlns:a16="http://schemas.microsoft.com/office/drawing/2014/main" pred="{ECD14AA6-401F-48E4-B3E1-F72553349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0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9525</xdr:colOff>
      <xdr:row>159</xdr:row>
      <xdr:rowOff>9525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C3863378-F010-414E-81A9-743DAEB2800C}"/>
            </a:ext>
            <a:ext uri="{147F2762-F138-4A5C-976F-8EAC2B608ADB}">
              <a16:predDERef xmlns:a16="http://schemas.microsoft.com/office/drawing/2014/main" pred="{7B46C910-AB60-4E1C-9841-AEB0873E0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933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7</xdr:col>
      <xdr:colOff>9525</xdr:colOff>
      <xdr:row>159</xdr:row>
      <xdr:rowOff>9525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AE7E6F72-773D-4A18-B785-411237465A06}"/>
            </a:ext>
            <a:ext uri="{147F2762-F138-4A5C-976F-8EAC2B608ADB}">
              <a16:predDERef xmlns:a16="http://schemas.microsoft.com/office/drawing/2014/main" pred="{C3863378-F010-414E-81A9-743DAEB28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450" y="2933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119</xdr:row>
      <xdr:rowOff>0</xdr:rowOff>
    </xdr:from>
    <xdr:to>
      <xdr:col>7</xdr:col>
      <xdr:colOff>9525</xdr:colOff>
      <xdr:row>159</xdr:row>
      <xdr:rowOff>9525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8CBA712B-DE05-4342-8B92-5723E04E91E2}"/>
            </a:ext>
            <a:ext uri="{147F2762-F138-4A5C-976F-8EAC2B608ADB}">
              <a16:predDERef xmlns:a16="http://schemas.microsoft.com/office/drawing/2014/main" pred="{AE7E6F72-773D-4A18-B785-411237465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1700" y="2933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118</xdr:row>
      <xdr:rowOff>0</xdr:rowOff>
    </xdr:from>
    <xdr:to>
      <xdr:col>4</xdr:col>
      <xdr:colOff>9525</xdr:colOff>
      <xdr:row>159</xdr:row>
      <xdr:rowOff>9525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C4DD3729-B249-4F66-9EEC-EA618BCB9854}"/>
            </a:ext>
            <a:ext uri="{147F2762-F138-4A5C-976F-8EAC2B608ADB}">
              <a16:predDERef xmlns:a16="http://schemas.microsoft.com/office/drawing/2014/main" pred="{8CBA712B-DE05-4342-8B92-5723E04E9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23307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7</xdr:col>
      <xdr:colOff>9525</xdr:colOff>
      <xdr:row>159</xdr:row>
      <xdr:rowOff>9525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727A8FE3-4DDA-4F97-9D6F-6022BEA8552A}"/>
            </a:ext>
            <a:ext uri="{147F2762-F138-4A5C-976F-8EAC2B608ADB}">
              <a16:predDERef xmlns:a16="http://schemas.microsoft.com/office/drawing/2014/main" pred="{C4DD3729-B249-4F66-9EEC-EA618BCB9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23307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118</xdr:row>
      <xdr:rowOff>0</xdr:rowOff>
    </xdr:from>
    <xdr:to>
      <xdr:col>7</xdr:col>
      <xdr:colOff>9525</xdr:colOff>
      <xdr:row>159</xdr:row>
      <xdr:rowOff>9525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FCA3BAA5-8407-4A65-A50A-615011AC5DAA}"/>
            </a:ext>
            <a:ext uri="{147F2762-F138-4A5C-976F-8EAC2B608ADB}">
              <a16:predDERef xmlns:a16="http://schemas.microsoft.com/office/drawing/2014/main" pred="{727A8FE3-4DDA-4F97-9D6F-6022BEA85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23307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9525</xdr:colOff>
      <xdr:row>159</xdr:row>
      <xdr:rowOff>9525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746770EF-EEFA-4738-97AB-FFF88BA0D894}"/>
            </a:ext>
            <a:ext uri="{147F2762-F138-4A5C-976F-8EAC2B608ADB}">
              <a16:predDERef xmlns:a16="http://schemas.microsoft.com/office/drawing/2014/main" pred="{FCA3BAA5-8407-4A65-A50A-615011AC5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234981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7</xdr:col>
      <xdr:colOff>9525</xdr:colOff>
      <xdr:row>159</xdr:row>
      <xdr:rowOff>9525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F057A2F1-6199-4C47-AF2F-3C9313BC8D66}"/>
            </a:ext>
            <a:ext uri="{147F2762-F138-4A5C-976F-8EAC2B608ADB}">
              <a16:predDERef xmlns:a16="http://schemas.microsoft.com/office/drawing/2014/main" pred="{746770EF-EEFA-4738-97AB-FFF88BA0D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234981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119</xdr:row>
      <xdr:rowOff>0</xdr:rowOff>
    </xdr:from>
    <xdr:to>
      <xdr:col>7</xdr:col>
      <xdr:colOff>9525</xdr:colOff>
      <xdr:row>159</xdr:row>
      <xdr:rowOff>9525</xdr:rowOff>
    </xdr:to>
    <xdr:pic>
      <xdr:nvPicPr>
        <xdr:cNvPr id="13" name="Picture 3">
          <a:extLst>
            <a:ext uri="{FF2B5EF4-FFF2-40B4-BE49-F238E27FC236}">
              <a16:creationId xmlns:a16="http://schemas.microsoft.com/office/drawing/2014/main" id="{0E584FC3-CEFC-41A4-8162-EA5ACF17E9C5}"/>
            </a:ext>
            <a:ext uri="{147F2762-F138-4A5C-976F-8EAC2B608ADB}">
              <a16:predDERef xmlns:a16="http://schemas.microsoft.com/office/drawing/2014/main" pred="{F057A2F1-6199-4C47-AF2F-3C9313BC8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234981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828675</xdr:colOff>
      <xdr:row>33</xdr:row>
      <xdr:rowOff>104775</xdr:rowOff>
    </xdr:from>
    <xdr:to>
      <xdr:col>37</xdr:col>
      <xdr:colOff>771525</xdr:colOff>
      <xdr:row>47</xdr:row>
      <xdr:rowOff>180975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41F8CC21-AC1E-4B21-96E7-2B2DC6B9E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295275</xdr:colOff>
      <xdr:row>5</xdr:row>
      <xdr:rowOff>76200</xdr:rowOff>
    </xdr:from>
    <xdr:to>
      <xdr:col>5</xdr:col>
      <xdr:colOff>19050</xdr:colOff>
      <xdr:row>14</xdr:row>
      <xdr:rowOff>161925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3A169F8-23C4-44DF-9001-8542B93D3D60}"/>
            </a:ext>
            <a:ext uri="{147F2762-F138-4A5C-976F-8EAC2B608ADB}">
              <a16:predDERef xmlns:a16="http://schemas.microsoft.com/office/drawing/2014/main" pred="{41F8CC21-AC1E-4B21-96E7-2B2DC6B9E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123825</xdr:colOff>
      <xdr:row>0</xdr:row>
      <xdr:rowOff>142875</xdr:rowOff>
    </xdr:from>
    <xdr:to>
      <xdr:col>18</xdr:col>
      <xdr:colOff>523875</xdr:colOff>
      <xdr:row>14</xdr:row>
      <xdr:rowOff>180975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52AA8FC-8BCF-18B2-9850-69311EBC4C0C}"/>
            </a:ext>
            <a:ext uri="{147F2762-F138-4A5C-976F-8EAC2B608ADB}">
              <a16:predDERef xmlns:a16="http://schemas.microsoft.com/office/drawing/2014/main" pred="{53A169F8-23C4-44DF-9001-8542B93D3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333375</xdr:colOff>
      <xdr:row>15</xdr:row>
      <xdr:rowOff>57150</xdr:rowOff>
    </xdr:from>
    <xdr:to>
      <xdr:col>23</xdr:col>
      <xdr:colOff>419100</xdr:colOff>
      <xdr:row>30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8DD78CB-2910-821D-3395-909C591EFDC5}"/>
            </a:ext>
            <a:ext uri="{147F2762-F138-4A5C-976F-8EAC2B608ADB}">
              <a16:predDERef xmlns:a16="http://schemas.microsoft.com/office/drawing/2014/main" pred="{C52AA8FC-8BCF-18B2-9850-69311EBC4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276225</xdr:colOff>
      <xdr:row>15</xdr:row>
      <xdr:rowOff>57150</xdr:rowOff>
    </xdr:from>
    <xdr:to>
      <xdr:col>12</xdr:col>
      <xdr:colOff>266700</xdr:colOff>
      <xdr:row>30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039AB89-7871-F488-AC1F-D5B2A18437F7}"/>
            </a:ext>
            <a:ext uri="{147F2762-F138-4A5C-976F-8EAC2B608ADB}">
              <a16:predDERef xmlns:a16="http://schemas.microsoft.com/office/drawing/2014/main" pred="{C8DD78CB-2910-821D-3395-909C591EF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19050</xdr:colOff>
      <xdr:row>0</xdr:row>
      <xdr:rowOff>133350</xdr:rowOff>
    </xdr:from>
    <xdr:to>
      <xdr:col>23</xdr:col>
      <xdr:colOff>419100</xdr:colOff>
      <xdr:row>15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8DF01C-EA72-45A6-FE25-F2C414623523}"/>
            </a:ext>
            <a:ext uri="{147F2762-F138-4A5C-976F-8EAC2B608ADB}">
              <a16:predDERef xmlns:a16="http://schemas.microsoft.com/office/drawing/2014/main" pred="{2039AB89-7871-F488-AC1F-D5B2A1843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828675</xdr:colOff>
      <xdr:row>33</xdr:row>
      <xdr:rowOff>104775</xdr:rowOff>
    </xdr:from>
    <xdr:to>
      <xdr:col>37</xdr:col>
      <xdr:colOff>771525</xdr:colOff>
      <xdr:row>47</xdr:row>
      <xdr:rowOff>180975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F0558796-14AD-46AB-9413-C61A1F46DC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295275</xdr:colOff>
      <xdr:row>5</xdr:row>
      <xdr:rowOff>76200</xdr:rowOff>
    </xdr:from>
    <xdr:to>
      <xdr:col>5</xdr:col>
      <xdr:colOff>19050</xdr:colOff>
      <xdr:row>14</xdr:row>
      <xdr:rowOff>161925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D0787BA-5FDC-48E5-BB9D-BDCE3D96D8B2}"/>
            </a:ext>
            <a:ext uri="{147F2762-F138-4A5C-976F-8EAC2B608ADB}">
              <a16:predDERef xmlns:a16="http://schemas.microsoft.com/office/drawing/2014/main" pred="{F0558796-14AD-46AB-9413-C61A1F46DC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180975</xdr:colOff>
      <xdr:row>0</xdr:row>
      <xdr:rowOff>142875</xdr:rowOff>
    </xdr:from>
    <xdr:to>
      <xdr:col>18</xdr:col>
      <xdr:colOff>581025</xdr:colOff>
      <xdr:row>14</xdr:row>
      <xdr:rowOff>180975</xdr:rowOff>
    </xdr:to>
    <xdr:graphicFrame macro="">
      <xdr:nvGraphicFramePr>
        <xdr:cNvPr id="4" name="Chart 10">
          <a:extLst>
            <a:ext uri="{FF2B5EF4-FFF2-40B4-BE49-F238E27FC236}">
              <a16:creationId xmlns:a16="http://schemas.microsoft.com/office/drawing/2014/main" id="{31A13D8A-DC6E-482D-A87E-4D2E390667A1}"/>
            </a:ext>
            <a:ext uri="{147F2762-F138-4A5C-976F-8EAC2B608ADB}">
              <a16:predDERef xmlns:a16="http://schemas.microsoft.com/office/drawing/2014/main" pred="{AD0787BA-5FDC-48E5-BB9D-BDCE3D96D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333375</xdr:colOff>
      <xdr:row>15</xdr:row>
      <xdr:rowOff>57150</xdr:rowOff>
    </xdr:from>
    <xdr:to>
      <xdr:col>23</xdr:col>
      <xdr:colOff>419100</xdr:colOff>
      <xdr:row>30</xdr:row>
      <xdr:rowOff>152400</xdr:rowOff>
    </xdr:to>
    <xdr:graphicFrame macro="">
      <xdr:nvGraphicFramePr>
        <xdr:cNvPr id="5" name="Chart 11">
          <a:extLst>
            <a:ext uri="{FF2B5EF4-FFF2-40B4-BE49-F238E27FC236}">
              <a16:creationId xmlns:a16="http://schemas.microsoft.com/office/drawing/2014/main" id="{039A91D2-4375-47AF-BF3A-106D9CA304BD}"/>
            </a:ext>
            <a:ext uri="{147F2762-F138-4A5C-976F-8EAC2B608ADB}">
              <a16:predDERef xmlns:a16="http://schemas.microsoft.com/office/drawing/2014/main" pred="{31A13D8A-DC6E-482D-A87E-4D2E39066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276225</xdr:colOff>
      <xdr:row>15</xdr:row>
      <xdr:rowOff>57150</xdr:rowOff>
    </xdr:from>
    <xdr:to>
      <xdr:col>12</xdr:col>
      <xdr:colOff>266700</xdr:colOff>
      <xdr:row>30</xdr:row>
      <xdr:rowOff>152400</xdr:rowOff>
    </xdr:to>
    <xdr:graphicFrame macro="">
      <xdr:nvGraphicFramePr>
        <xdr:cNvPr id="6" name="Chart 12">
          <a:extLst>
            <a:ext uri="{FF2B5EF4-FFF2-40B4-BE49-F238E27FC236}">
              <a16:creationId xmlns:a16="http://schemas.microsoft.com/office/drawing/2014/main" id="{D788DA3A-7F04-4469-A973-FDFADABE6D2E}"/>
            </a:ext>
            <a:ext uri="{147F2762-F138-4A5C-976F-8EAC2B608ADB}">
              <a16:predDERef xmlns:a16="http://schemas.microsoft.com/office/drawing/2014/main" pred="{039A91D2-4375-47AF-BF3A-106D9CA30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1143000</xdr:colOff>
      <xdr:row>41</xdr:row>
      <xdr:rowOff>66675</xdr:rowOff>
    </xdr:from>
    <xdr:to>
      <xdr:col>40</xdr:col>
      <xdr:colOff>457200</xdr:colOff>
      <xdr:row>55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D6B959-EEB8-6EB9-2D79-B9750C9F5545}"/>
            </a:ext>
            <a:ext uri="{147F2762-F138-4A5C-976F-8EAC2B608ADB}">
              <a16:predDERef xmlns:a16="http://schemas.microsoft.com/office/drawing/2014/main" pred="{D788DA3A-7F04-4469-A973-FDFADABE6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600075</xdr:colOff>
      <xdr:row>0</xdr:row>
      <xdr:rowOff>123825</xdr:rowOff>
    </xdr:from>
    <xdr:to>
      <xdr:col>23</xdr:col>
      <xdr:colOff>428625</xdr:colOff>
      <xdr:row>15</xdr:row>
      <xdr:rowOff>9525</xdr:rowOff>
    </xdr:to>
    <xdr:graphicFrame macro="">
      <xdr:nvGraphicFramePr>
        <xdr:cNvPr id="102" name="Bagan 13">
          <a:extLst>
            <a:ext uri="{FF2B5EF4-FFF2-40B4-BE49-F238E27FC236}">
              <a16:creationId xmlns:a16="http://schemas.microsoft.com/office/drawing/2014/main" id="{02AAABE5-92A7-9C1E-9F99-24B5326BE9AD}"/>
            </a:ext>
            <a:ext uri="{147F2762-F138-4A5C-976F-8EAC2B608ADB}">
              <a16:predDERef xmlns:a16="http://schemas.microsoft.com/office/drawing/2014/main" pred="{05D6B959-EEB8-6EB9-2D79-B9750C9F5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828675</xdr:colOff>
      <xdr:row>33</xdr:row>
      <xdr:rowOff>104775</xdr:rowOff>
    </xdr:from>
    <xdr:to>
      <xdr:col>37</xdr:col>
      <xdr:colOff>771525</xdr:colOff>
      <xdr:row>47</xdr:row>
      <xdr:rowOff>180975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FD060C34-A777-42D2-B463-70F66C681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295275</xdr:colOff>
      <xdr:row>5</xdr:row>
      <xdr:rowOff>76200</xdr:rowOff>
    </xdr:from>
    <xdr:to>
      <xdr:col>5</xdr:col>
      <xdr:colOff>19050</xdr:colOff>
      <xdr:row>14</xdr:row>
      <xdr:rowOff>161925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4ED4F38-0468-45EC-B86F-87C7DAE87F7B}"/>
            </a:ext>
            <a:ext uri="{147F2762-F138-4A5C-976F-8EAC2B608ADB}">
              <a16:predDERef xmlns:a16="http://schemas.microsoft.com/office/drawing/2014/main" pred="{FD060C34-A777-42D2-B463-70F66C681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180975</xdr:colOff>
      <xdr:row>0</xdr:row>
      <xdr:rowOff>142875</xdr:rowOff>
    </xdr:from>
    <xdr:to>
      <xdr:col>18</xdr:col>
      <xdr:colOff>581025</xdr:colOff>
      <xdr:row>14</xdr:row>
      <xdr:rowOff>180975</xdr:rowOff>
    </xdr:to>
    <xdr:graphicFrame macro="">
      <xdr:nvGraphicFramePr>
        <xdr:cNvPr id="4" name="Chart 10">
          <a:extLst>
            <a:ext uri="{FF2B5EF4-FFF2-40B4-BE49-F238E27FC236}">
              <a16:creationId xmlns:a16="http://schemas.microsoft.com/office/drawing/2014/main" id="{6B277C12-6D3A-4531-8750-923FAE2C5421}"/>
            </a:ext>
            <a:ext uri="{147F2762-F138-4A5C-976F-8EAC2B608ADB}">
              <a16:predDERef xmlns:a16="http://schemas.microsoft.com/office/drawing/2014/main" pred="{D4ED4F38-0468-45EC-B86F-87C7DAE87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333375</xdr:colOff>
      <xdr:row>15</xdr:row>
      <xdr:rowOff>57150</xdr:rowOff>
    </xdr:from>
    <xdr:to>
      <xdr:col>19</xdr:col>
      <xdr:colOff>247650</xdr:colOff>
      <xdr:row>30</xdr:row>
      <xdr:rowOff>152400</xdr:rowOff>
    </xdr:to>
    <xdr:graphicFrame macro="">
      <xdr:nvGraphicFramePr>
        <xdr:cNvPr id="5" name="Chart 11">
          <a:extLst>
            <a:ext uri="{FF2B5EF4-FFF2-40B4-BE49-F238E27FC236}">
              <a16:creationId xmlns:a16="http://schemas.microsoft.com/office/drawing/2014/main" id="{740373C4-9CBC-4981-904C-9FBFB8ED44D5}"/>
            </a:ext>
            <a:ext uri="{147F2762-F138-4A5C-976F-8EAC2B608ADB}">
              <a16:predDERef xmlns:a16="http://schemas.microsoft.com/office/drawing/2014/main" pred="{6B277C12-6D3A-4531-8750-923FAE2C5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276225</xdr:colOff>
      <xdr:row>15</xdr:row>
      <xdr:rowOff>57150</xdr:rowOff>
    </xdr:from>
    <xdr:to>
      <xdr:col>12</xdr:col>
      <xdr:colOff>266700</xdr:colOff>
      <xdr:row>30</xdr:row>
      <xdr:rowOff>152400</xdr:rowOff>
    </xdr:to>
    <xdr:graphicFrame macro="">
      <xdr:nvGraphicFramePr>
        <xdr:cNvPr id="6" name="Chart 12">
          <a:extLst>
            <a:ext uri="{FF2B5EF4-FFF2-40B4-BE49-F238E27FC236}">
              <a16:creationId xmlns:a16="http://schemas.microsoft.com/office/drawing/2014/main" id="{44FF7A1F-8ADA-4D2A-98CD-6460D25EA547}"/>
            </a:ext>
            <a:ext uri="{147F2762-F138-4A5C-976F-8EAC2B608ADB}">
              <a16:predDERef xmlns:a16="http://schemas.microsoft.com/office/drawing/2014/main" pred="{740373C4-9CBC-4981-904C-9FBFB8ED4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276225</xdr:colOff>
      <xdr:row>15</xdr:row>
      <xdr:rowOff>57150</xdr:rowOff>
    </xdr:from>
    <xdr:to>
      <xdr:col>23</xdr:col>
      <xdr:colOff>409575</xdr:colOff>
      <xdr:row>30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FAF592F-13B7-4571-8DE1-94DC0A59B8FB}"/>
            </a:ext>
            <a:ext uri="{147F2762-F138-4A5C-976F-8EAC2B608ADB}">
              <a16:predDERef xmlns:a16="http://schemas.microsoft.com/office/drawing/2014/main" pred="{44FF7A1F-8ADA-4D2A-98CD-6460D25EA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600075</xdr:colOff>
      <xdr:row>0</xdr:row>
      <xdr:rowOff>123825</xdr:rowOff>
    </xdr:from>
    <xdr:to>
      <xdr:col>23</xdr:col>
      <xdr:colOff>428625</xdr:colOff>
      <xdr:row>15</xdr:row>
      <xdr:rowOff>9525</xdr:rowOff>
    </xdr:to>
    <xdr:graphicFrame macro="">
      <xdr:nvGraphicFramePr>
        <xdr:cNvPr id="8" name="Bagan 13">
          <a:extLst>
            <a:ext uri="{FF2B5EF4-FFF2-40B4-BE49-F238E27FC236}">
              <a16:creationId xmlns:a16="http://schemas.microsoft.com/office/drawing/2014/main" id="{E712A607-B378-4F3C-BE9C-2ECB6E682460}"/>
            </a:ext>
            <a:ext uri="{147F2762-F138-4A5C-976F-8EAC2B608ADB}">
              <a16:predDERef xmlns:a16="http://schemas.microsoft.com/office/drawing/2014/main" pred="{5FAF592F-13B7-4571-8DE1-94DC0A59B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fomediacoid-my.sharepoint.com/:b:/r/personal/sri_yesus_infomedia_co_id/Documents/DOCUMENT%20NETWORK/ba%20dws/2024/PT%20INFOMEDIA%20NUSANTARA%203272%202024.pdf?csf=1&amp;web=1&amp;e=HScbVW" TargetMode="External"/><Relationship Id="rId21" Type="http://schemas.openxmlformats.org/officeDocument/2006/relationships/hyperlink" Target="https://infomediacoid-my.sharepoint.com/:b:/r/personal/sri_yesus_infomedia_co_id/Documents/DOCUMENT%20NETWORK/ba%20dws/2025/PT%20INFOMEDIA%20NUSANTARA%2086.pdf?csf=1&amp;web=1&amp;e=bI6U2i" TargetMode="External"/><Relationship Id="rId42" Type="http://schemas.openxmlformats.org/officeDocument/2006/relationships/hyperlink" Target="https://infomediacoid-my.sharepoint.com/:b:/r/personal/sri_yesus_infomedia_co_id/Documents/DOCUMENT%20NETWORK/ba%20dws/2025/PT%20INFOMEDIA%20NUSANTARA%203650.pdf?csf=1&amp;web=1&amp;e=Dwbx4L" TargetMode="External"/><Relationship Id="rId63" Type="http://schemas.openxmlformats.org/officeDocument/2006/relationships/hyperlink" Target="https://infomediacoid-my.sharepoint.com/:b:/r/personal/sri_yesus_infomedia_co_id/Documents/DOCUMENT%20NETWORK/ba%20dws/2025/20240619095105___MetroE___1500985.pdf?csf=1&amp;web=1&amp;e=URaGbo" TargetMode="External"/><Relationship Id="rId84" Type="http://schemas.openxmlformats.org/officeDocument/2006/relationships/hyperlink" Target="https://infomediacoid-my.sharepoint.com/:b:/r/personal/sri_yesus_infomedia_co_id/Documents/DOCUMENT%20NETWORK/ba%20dws/2023/20230720035356___Astinet___DANA.pdf?csf=1&amp;web=1&amp;e=TTf0cs" TargetMode="External"/><Relationship Id="rId138" Type="http://schemas.openxmlformats.org/officeDocument/2006/relationships/hyperlink" Target="https://infomediacoid-my.sharepoint.com/:b:/r/personal/sri_yesus_infomedia_co_id/Documents/DOCUMENT%20NETWORK/ba%20dws/2025/BA_No_2305_BA_2025_Aktivasi%20Other_4%20AO%20(2)%20(1).pdf?csf=1&amp;web=1&amp;e=INI2NE" TargetMode="External"/><Relationship Id="rId159" Type="http://schemas.openxmlformats.org/officeDocument/2006/relationships/hyperlink" Target="https://infomediacoid-my.sharepoint.com/:b:/r/personal/sri_yesus_infomedia_co_id/Documents/DOCUMENT%20NETWORK/ba%20dws/2025/BA_No_1838_BA_2025_Aktivasi%20Metro_AO_2-2431425628%20(2).pdf?csf=1&amp;web=1&amp;e=1sa4az" TargetMode="External"/><Relationship Id="rId170" Type="http://schemas.openxmlformats.org/officeDocument/2006/relationships/hyperlink" Target="https://infomediacoid-my.sharepoint.com/:b:/r/personal/sri_yesus_infomedia_co_id/Documents/DOCUMENT%20NETWORK/ba%20dws/2024/PT%20INFOMEDIA%20NUSANTARA%204481%202024.pdf?csf=1&amp;web=1&amp;e=y36ewX" TargetMode="External"/><Relationship Id="rId107" Type="http://schemas.openxmlformats.org/officeDocument/2006/relationships/hyperlink" Target="https://infomediacoid-my.sharepoint.com/:b:/r/personal/sri_yesus_infomedia_co_id/Documents/DOCUMENT%20NETWORK/ba%20dws/2024/PT%20INFOMEDIA%20NUSANTARA%202923.pdf?csf=1&amp;web=1&amp;e=JgkzdQ" TargetMode="External"/><Relationship Id="rId11" Type="http://schemas.openxmlformats.org/officeDocument/2006/relationships/hyperlink" Target="https://infomediacoid-my.sharepoint.com/:b:/r/personal/sri_yesus_infomedia_co_id/Documents/DOCUMENT%20NETWORK/ba%20dws/2024/20240528101730___NomorAkses___150511.pdf?csf=1&amp;web=1&amp;e=i8FNwp" TargetMode="External"/><Relationship Id="rId32" Type="http://schemas.openxmlformats.org/officeDocument/2006/relationships/hyperlink" Target="https://infomediacoid-my.sharepoint.com/:b:/r/personal/sri_yesus_infomedia_co_id/Documents/DOCUMENT%20NETWORK/ba%20dws/2025/PT%20INFOMEDIA%20NUSANTARA%204638.pdf?csf=1&amp;web=1&amp;e=MUBzii" TargetMode="External"/><Relationship Id="rId53" Type="http://schemas.openxmlformats.org/officeDocument/2006/relationships/hyperlink" Target="https://infomediacoid-my.sharepoint.com/:b:/r/personal/sri_yesus_infomedia_co_id/Documents/DOCUMENT%20NETWORK/ba%20dws/2025/PT%20INFOMEDIA%20NUSANTARA%204690.pdf?csf=1&amp;web=1&amp;e=bOGiy1" TargetMode="External"/><Relationship Id="rId74" Type="http://schemas.openxmlformats.org/officeDocument/2006/relationships/hyperlink" Target="https://infomediacoid-my.sharepoint.com/:b:/r/personal/sri_yesus_infomedia_co_id/Documents/DOCUMENT%20NETWORK/ba%20dws/2025/20240809120000___MetroE___188.pdf?csf=1&amp;web=1&amp;e=ecJlRd" TargetMode="External"/><Relationship Id="rId128" Type="http://schemas.openxmlformats.org/officeDocument/2006/relationships/hyperlink" Target="https://infomediacoid-my.sharepoint.com/:b:/r/personal/sri_yesus_infomedia_co_id/Documents/DOCUMENT%20NETWORK/ba%20dws/2025/BA_No_2337_BA_2025_Aktivasi%20Other_2%20AO%20(2).pdf?csf=1&amp;web=1&amp;e=gy2nSr" TargetMode="External"/><Relationship Id="rId149" Type="http://schemas.openxmlformats.org/officeDocument/2006/relationships/hyperlink" Target="https://infomediacoid-my.sharepoint.com/:b:/r/personal/sri_yesus_infomedia_co_id/Documents/DOCUMENT%20NETWORK/ba%20dws/2025/BA_No%20891_Aktivasi%20Other%20%26%20Astinet_3%20AO%20(2).pdf?csf=1&amp;web=1&amp;e=2gc5uZ" TargetMode="External"/><Relationship Id="rId5" Type="http://schemas.openxmlformats.org/officeDocument/2006/relationships/hyperlink" Target="https://infomediacoid-my.sharepoint.com/:b:/r/personal/sri_yesus_infomedia_co_id/Documents/DOCUMENT%20NETWORK/ba%20dws/2024/20240419071143___NomorAkses___MORATELINDO-1500882.pdf?csf=1&amp;web=1&amp;e=5pahED" TargetMode="External"/><Relationship Id="rId95" Type="http://schemas.openxmlformats.org/officeDocument/2006/relationships/hyperlink" Target="https://infomediacoid-my.sharepoint.com/:b:/r/personal/sri_yesus_infomedia_co_id/Documents/DOCUMENT%20NETWORK/ba%20dws/2024/PT%20INFOMEDIA%20NUSANTARA%202722.pdf?csf=1&amp;web=1&amp;e=vkYTfB" TargetMode="External"/><Relationship Id="rId160" Type="http://schemas.openxmlformats.org/officeDocument/2006/relationships/hyperlink" Target="https://infomediacoid-my.sharepoint.com/:b:/r/personal/sri_yesus_infomedia_co_id/Documents/DOCUMENT%20NETWORK/ba%20dws/2025/No.%20673%20BA%20Aktivasi%20Infomedia%20Nusantara%20Astinet%20Manado%205%20Mbps.pdf?csf=1&amp;web=1&amp;e=aP5gzt" TargetMode="External"/><Relationship Id="rId22" Type="http://schemas.openxmlformats.org/officeDocument/2006/relationships/hyperlink" Target="https://infomediacoid-my.sharepoint.com/:b:/r/personal/sri_yesus_infomedia_co_id/Documents/DOCUMENT%20NETWORK/ba%20dws/2025/2-2348681333%20PT%20INFOMEDIA%20NUSANTARA%20392(1).pdf?csf=1&amp;web=1&amp;e=YIO2OV" TargetMode="External"/><Relationship Id="rId43" Type="http://schemas.openxmlformats.org/officeDocument/2006/relationships/hyperlink" Target="https://infomediacoid-my.sharepoint.com/:b:/r/personal/sri_yesus_infomedia_co_id/Documents/DOCUMENT%20NETWORK/ba%20dws/2025/PT%20INFOMEDIA%20NUSANTARA%203651.pdf?csf=1&amp;web=1&amp;e=a9Vskp" TargetMode="External"/><Relationship Id="rId64" Type="http://schemas.openxmlformats.org/officeDocument/2006/relationships/hyperlink" Target="https://infomediacoid-my.sharepoint.com/:b:/r/personal/sri_yesus_infomedia_co_id/Documents/DOCUMENT%20NETWORK/ba%20dws/2025/20240619100932___MetroE___1500989.pdf?csf=1&amp;web=1&amp;e=B7Pr96" TargetMode="External"/><Relationship Id="rId118" Type="http://schemas.openxmlformats.org/officeDocument/2006/relationships/hyperlink" Target="https://infomediacoid-my.sharepoint.com/:b:/r/personal/sri_yesus_infomedia_co_id/Documents/DOCUMENT%20NETWORK/ba%20dws/2024/VPN%20IP%20Infomedia%20Nusantara_Tel.1288%20YN%20000_29%20Juli%202024.pdf?csf=1&amp;web=1&amp;e=PDgVfr" TargetMode="External"/><Relationship Id="rId139" Type="http://schemas.openxmlformats.org/officeDocument/2006/relationships/hyperlink" Target="https://infomediacoid-my.sharepoint.com/:b:/r/personal/sri_yesus_infomedia_co_id/Documents/DOCUMENT%20NETWORK/ba%20dws/2025/BA_No_2305_BA_2025_Aktivasi%20Other_4%20AO%20(2)%20(1).pdf?csf=1&amp;web=1&amp;e=INI2NE" TargetMode="External"/><Relationship Id="rId85" Type="http://schemas.openxmlformats.org/officeDocument/2006/relationships/hyperlink" Target="https://infomediacoid-my.sharepoint.com/:b:/r/personal/sri_yesus_infomedia_co_id/Documents/DOCUMENT%20NETWORK/ba%20dws/2023/20230720040921___Astinet___.pdf?csf=1&amp;web=1&amp;e=IkRxVg" TargetMode="External"/><Relationship Id="rId150" Type="http://schemas.openxmlformats.org/officeDocument/2006/relationships/hyperlink" Target="https://infomediacoid-my.sharepoint.com/:b:/r/personal/sri_yesus_infomedia_co_id/Documents/DOCUMENT%20NETWORK/ba%20dws/2025/BA_No%20891_Aktivasi%20Other%20%26%20Astinet_3%20AO%20(2).pdf?csf=1&amp;web=1&amp;e=2gc5uZ" TargetMode="External"/><Relationship Id="rId171" Type="http://schemas.openxmlformats.org/officeDocument/2006/relationships/hyperlink" Target="https://infomediacoid-my.sharepoint.com/:b:/r/personal/sri_yesus_infomedia_co_id/Documents/DOCUMENT%20NETWORK/ba%20dws/2024/PT%20INFOMEDIA%20NUSANTARA%204521%202024.pdf?csf=1&amp;web=1&amp;e=dqmGND" TargetMode="External"/><Relationship Id="rId12" Type="http://schemas.openxmlformats.org/officeDocument/2006/relationships/hyperlink" Target="https://infomediacoid-my.sharepoint.com/:b:/r/personal/sri_yesus_infomedia_co_id/Documents/DOCUMENT%20NETWORK/ba%20dws/2024/20240529073822___Astinet___CC-SILOAM.pdf?csf=1&amp;web=1&amp;e=0Mvi5i" TargetMode="External"/><Relationship Id="rId33" Type="http://schemas.openxmlformats.org/officeDocument/2006/relationships/hyperlink" Target="https://infomediacoid-my.sharepoint.com/:b:/r/personal/sri_yesus_infomedia_co_id/Documents/DOCUMENT%20NETWORK/ba%20dws/2025/PT%20INFOMEDIA%20NUSANTARA%204790%202024.pdf?csf=1&amp;web=1&amp;e=VRQ7aL" TargetMode="External"/><Relationship Id="rId108" Type="http://schemas.openxmlformats.org/officeDocument/2006/relationships/hyperlink" Target="https://infomediacoid-my.sharepoint.com/:b:/r/personal/sri_yesus_infomedia_co_id/Documents/DOCUMENT%20NETWORK/ba%20dws/2024/PT%20INFOMEDIA%20NUSANTARA%202924.pdf?csf=1&amp;web=1&amp;e=g1F6gR" TargetMode="External"/><Relationship Id="rId129" Type="http://schemas.openxmlformats.org/officeDocument/2006/relationships/hyperlink" Target="https://infomediacoid-my.sharepoint.com/:b:/r/personal/sri_yesus_infomedia_co_id/Documents/DOCUMENT%20NETWORK/ba%20dws/2024/PT%20INFOMEDIA%20NUSANTARA%2092.pdf?csf=1&amp;web=1&amp;e=aMb8Dt" TargetMode="External"/><Relationship Id="rId54" Type="http://schemas.openxmlformats.org/officeDocument/2006/relationships/hyperlink" Target="https://infomediacoid-my.sharepoint.com/:b:/r/personal/sri_yesus_infomedia_co_id/Documents/DOCUMENT%20NETWORK/ba%20dws/2025/PT%20INFOMEDIA%20NUSANTARA%204725.pdf?csf=1&amp;web=1&amp;e=LRHOrA" TargetMode="External"/><Relationship Id="rId75" Type="http://schemas.openxmlformats.org/officeDocument/2006/relationships/hyperlink" Target="https://infomediacoid-my.sharepoint.com/:b:/r/personal/sri_yesus_infomedia_co_id/Documents/DOCUMENT%20NETWORK/ba%20dws/2025/20240308080719___NomorAkses___BNI-LIFE-INSURANCE-1500044.pdf?csf=1&amp;web=1&amp;e=dctUBm" TargetMode="External"/><Relationship Id="rId96" Type="http://schemas.openxmlformats.org/officeDocument/2006/relationships/hyperlink" Target="https://infomediacoid-my.sharepoint.com/:b:/r/personal/sri_yesus_infomedia_co_id/Documents/DOCUMENT%20NETWORK/ba%20dws/2024/BA%201393%20Aktivasi%20Infomedia%20HSI%20Hang%20Tuah%20Denpasar%20Selatan.pdf?csf=1&amp;web=1&amp;e=HhZUtq" TargetMode="External"/><Relationship Id="rId140" Type="http://schemas.openxmlformats.org/officeDocument/2006/relationships/hyperlink" Target="https://infomediacoid-my.sharepoint.com/:b:/r/personal/sri_yesus_infomedia_co_id/Documents/DOCUMENT%20NETWORK/ba%20dws/2025/BA_No_2305_BA_2025_Aktivasi%20Other_4%20AO%20(2)%20(1).pdf?csf=1&amp;web=1&amp;e=mP7sJl" TargetMode="External"/><Relationship Id="rId161" Type="http://schemas.openxmlformats.org/officeDocument/2006/relationships/hyperlink" Target="https://infomediacoid-my.sharepoint.com/:b:/r/personal/sri_yesus_infomedia_co_id/Documents/DOCUMENT%20NETWORK/ba%20dws/2024/PT%20INFOMEDIA%20NUSANTARA%2089.pdf?csf=1&amp;web=1&amp;e=UtfSqK" TargetMode="External"/><Relationship Id="rId6" Type="http://schemas.openxmlformats.org/officeDocument/2006/relationships/hyperlink" Target="https://infomediacoid-my.sharepoint.com/:b:/r/personal/sri_yesus_infomedia_co_id/Documents/DOCUMENT%20NETWORK/ba%20dws/2024/20240419085535___Astinet___SRC-CALL-CENTER.pdf?csf=1&amp;web=1&amp;e=dTAati" TargetMode="External"/><Relationship Id="rId23" Type="http://schemas.openxmlformats.org/officeDocument/2006/relationships/hyperlink" Target="https://infomediacoid-my.sharepoint.com/:b:/r/personal/sri_yesus_infomedia_co_id/Documents/DOCUMENT%20NETWORK/ba%20dws/2025/2-2342143443%20PT%20INFOMEDIA%20NUSANTARA%20225.pdf?csf=1&amp;web=1&amp;e=PxWpqn" TargetMode="External"/><Relationship Id="rId28" Type="http://schemas.openxmlformats.org/officeDocument/2006/relationships/hyperlink" Target="https://infomediacoid-my.sharepoint.com/:b:/r/personal/sri_yesus_infomedia_co_id/Documents/DOCUMENT%20NETWORK/ba%20dws/2025/PT%20INFOMEDIA%20NUSANTARA%20159.pdf?csf=1&amp;web=1&amp;e=0SfRDj" TargetMode="External"/><Relationship Id="rId49" Type="http://schemas.openxmlformats.org/officeDocument/2006/relationships/hyperlink" Target="https://infomediacoid-my.sharepoint.com/:b:/r/personal/sri_yesus_infomedia_co_id/Documents/DOCUMENT%20NETWORK/ba%20dws/2025/PT%20INFOMEDIA%20NUSANTARA%203948.pdf?csf=1&amp;web=1&amp;e=A8jhw8" TargetMode="External"/><Relationship Id="rId114" Type="http://schemas.openxmlformats.org/officeDocument/2006/relationships/hyperlink" Target="https://infomediacoid-my.sharepoint.com/:b:/r/personal/sri_yesus_infomedia_co_id/Documents/DOCUMENT%20NETWORK/ba%20dws/2024/PT%20INFOMEDIA%20NUSANTARA%203153.pdf?csf=1&amp;web=1&amp;e=7NUsuI" TargetMode="External"/><Relationship Id="rId119" Type="http://schemas.openxmlformats.org/officeDocument/2006/relationships/hyperlink" Target="https://infomediacoid-my.sharepoint.com/:b:/r/personal/sri_yesus_infomedia_co_id/Documents/DOCUMENT%20NETWORK/ba%20dws/2024/BA%201479%20Downgrade%20Infomedia%20Graha%20Pena%20Gayungan%20Surabaya.pdf?csf=1&amp;web=1&amp;e=B7XPWU" TargetMode="External"/><Relationship Id="rId44" Type="http://schemas.openxmlformats.org/officeDocument/2006/relationships/hyperlink" Target="https://infomediacoid-my.sharepoint.com/:b:/r/personal/sri_yesus_infomedia_co_id/Documents/DOCUMENT%20NETWORK/ba%20dws/2025/PT%20INFOMEDIA%20NUSANTARA%203658.pdf?csf=1&amp;web=1&amp;e=8wpAKf" TargetMode="External"/><Relationship Id="rId60" Type="http://schemas.openxmlformats.org/officeDocument/2006/relationships/hyperlink" Target="https://infomediacoid-my.sharepoint.com/:b:/r/personal/sri_yesus_infomedia_co_id/Documents/DOCUMENT%20NETWORK/ba%20dws/2025/20240530044539___Astinet___ADHIVASINDO.pdf?csf=1&amp;web=1&amp;e=eF18hD" TargetMode="External"/><Relationship Id="rId65" Type="http://schemas.openxmlformats.org/officeDocument/2006/relationships/hyperlink" Target="https://infomediacoid-my.sharepoint.com/:b:/r/personal/sri_yesus_infomedia_co_id/Documents/DOCUMENT%20NETWORK/ba%20dws/2025/20240730165700___Astinet___1500515.pdf?csf=1&amp;web=1&amp;e=KtYYkm" TargetMode="External"/><Relationship Id="rId81" Type="http://schemas.openxmlformats.org/officeDocument/2006/relationships/hyperlink" Target="https://infomediacoid-my.sharepoint.com/:b:/r/personal/sri_yesus_infomedia_co_id/Documents/DOCUMENT%20NETWORK/ba%20dws/2025/20240418094924___MetroE___1500017.pdf?csf=1&amp;web=1&amp;e=uHgL8A" TargetMode="External"/><Relationship Id="rId86" Type="http://schemas.openxmlformats.org/officeDocument/2006/relationships/hyperlink" Target="https://infomediacoid-my.sharepoint.com/:b:/r/personal/sri_yesus_infomedia_co_id/Documents/DOCUMENT%20NETWORK/ba%20dws/2023/20230720042442___Astinet___1500043.pdf?csf=1&amp;web=1&amp;e=QgWbsE" TargetMode="External"/><Relationship Id="rId130" Type="http://schemas.openxmlformats.org/officeDocument/2006/relationships/hyperlink" Target="https://infomediacoid-my.sharepoint.com/:b:/r/personal/sri_yesus_infomedia_co_id/Documents/DOCUMENT%20NETWORK/ba%20dws/2025/BA_Aktivasi_BA_No_2780_Aktivasi_Masking_Number_AO_2_2515181716%20(2).pdf?csf=1&amp;web=1&amp;e=esaZ4g" TargetMode="External"/><Relationship Id="rId135" Type="http://schemas.openxmlformats.org/officeDocument/2006/relationships/hyperlink" Target="https://infomediacoid-my.sharepoint.com/:b:/r/personal/sri_yesus_infomedia_co_id/Documents/DOCUMENT%20NETWORK/ba%20dws/2025/BA_No_311_Aktivasi_Akses_Jasa_Call_Center_dan_Layanan.pdf?csf=1&amp;web=1&amp;e=cWG15u" TargetMode="External"/><Relationship Id="rId151" Type="http://schemas.openxmlformats.org/officeDocument/2006/relationships/hyperlink" Target="https://infomediacoid-my.sharepoint.com/:b:/r/personal/sri_yesus_infomedia_co_id/Documents/DOCUMENT%20NETWORK/ba%20dws/2025/BA_No%20891_Aktivasi%20Other%20%26%20Astinet_3%20AO%20(2).pdf?csf=1&amp;web=1&amp;e=2gc5uZ" TargetMode="External"/><Relationship Id="rId156" Type="http://schemas.openxmlformats.org/officeDocument/2006/relationships/hyperlink" Target="https://infomediacoid-my.sharepoint.com/:b:/r/personal/sri_yesus_infomedia_co_id/Documents/DOCUMENT%20NETWORK/ba%20dws/2025/BA_No_1641_BA_2025_Aktivasi%20Call%20Center_AO_2-2457398905%20(2).pdf?csf=1&amp;web=1&amp;e=8ZYh1F" TargetMode="External"/><Relationship Id="rId177" Type="http://schemas.openxmlformats.org/officeDocument/2006/relationships/drawing" Target="../drawings/drawing1.xml"/><Relationship Id="rId172" Type="http://schemas.openxmlformats.org/officeDocument/2006/relationships/hyperlink" Target="https://infomediacoid-my.sharepoint.com/:b:/r/personal/sri_yesus_infomedia_co_id/Documents/DOCUMENT%20NETWORK/ba%20dws/2024/PT%20INFOMEDIA%20NUSANTARA%204564.pdf?csf=1&amp;web=1&amp;e=TlPj1m" TargetMode="External"/><Relationship Id="rId13" Type="http://schemas.openxmlformats.org/officeDocument/2006/relationships/hyperlink" Target="https://infomediacoid-my.sharepoint.com/:b:/r/personal/sri_yesus_infomedia_co_id/Documents/DOCUMENT%20NETWORK/ba%20dws/2024/20240529082958___Astinet___1500667-NOVASI.pdf?csf=1&amp;web=1&amp;e=6eTc51" TargetMode="External"/><Relationship Id="rId18" Type="http://schemas.openxmlformats.org/officeDocument/2006/relationships/hyperlink" Target="https://infomediacoid-my.sharepoint.com/:b:/r/personal/sri_yesus_infomedia_co_id/Documents/DOCUMENT%20NETWORK/ba%20dws/2025/BA%20Aktivasi_762_PT%20INFOMEDIA%20NUSANTARA_XII_2024.pdf?csf=1&amp;web=1&amp;e=sMqnFz" TargetMode="External"/><Relationship Id="rId39" Type="http://schemas.openxmlformats.org/officeDocument/2006/relationships/hyperlink" Target="https://infomediacoid-my.sharepoint.com/:b:/r/personal/sri_yesus_infomedia_co_id/Documents/DOCUMENT%20NETWORK/ba%20dws/2025/PT%20INFOMEDIA%20NUSANTARA%20133%202025%20(2)_.pdf?csf=1&amp;web=1&amp;e=9cgHPr" TargetMode="External"/><Relationship Id="rId109" Type="http://schemas.openxmlformats.org/officeDocument/2006/relationships/hyperlink" Target="https://infomediacoid-my.sharepoint.com/:b:/r/personal/sri_yesus_infomedia_co_id/Documents/DOCUMENT%20NETWORK/ba%20dws/2024/PT%20INFOMEDIA%20NUSANTARA%202973%202024.pdf?csf=1&amp;web=1&amp;e=BjRn2Q" TargetMode="External"/><Relationship Id="rId34" Type="http://schemas.openxmlformats.org/officeDocument/2006/relationships/hyperlink" Target="https://infomediacoid-my.sharepoint.com/:b:/r/personal/sri_yesus_infomedia_co_id/Documents/DOCUMENT%20NETWORK/ba%20dws/2025/PT%20INFOMEDIA%20NUSANTARA%204791%202024.pdf?csf=1&amp;web=1&amp;e=0Ir2N6" TargetMode="External"/><Relationship Id="rId50" Type="http://schemas.openxmlformats.org/officeDocument/2006/relationships/hyperlink" Target="https://infomediacoid-my.sharepoint.com/:b:/r/personal/sri_yesus_infomedia_co_id/Documents/DOCUMENT%20NETWORK/ba%20dws/2025/PT%20INFOMEDIA%20NUSANTARA%204520%202024.pdf?csf=1&amp;web=1&amp;e=h9qmkQ" TargetMode="External"/><Relationship Id="rId55" Type="http://schemas.openxmlformats.org/officeDocument/2006/relationships/hyperlink" Target="https://infomediacoid-my.sharepoint.com/:b:/r/personal/sri_yesus_infomedia_co_id/Documents/DOCUMENT%20NETWORK/ba%20dws/2025/20240419091027___MetroE___1500445.pdf?csf=1&amp;web=1&amp;e=Kf1XLw" TargetMode="External"/><Relationship Id="rId76" Type="http://schemas.openxmlformats.org/officeDocument/2006/relationships/hyperlink" Target="https://infomediacoid-my.sharepoint.com/:b:/r/personal/sri_yesus_infomedia_co_id/Documents/DOCUMENT%20NETWORK/ba%20dws/2025/20240308085457___MetroE___BNI-LIFE-INSURANCE-1500044.pdf?csf=1&amp;web=1&amp;e=vb5cph" TargetMode="External"/><Relationship Id="rId97" Type="http://schemas.openxmlformats.org/officeDocument/2006/relationships/hyperlink" Target="https://infomediacoid-my.sharepoint.com/:b:/r/personal/sri_yesus_infomedia_co_id/Documents/DOCUMENT%20NETWORK/ba%20dws/2024/BA%202408%20IPPBX%202-2195644582%20(POH).pdf?csf=1&amp;web=1&amp;e=9lAqOe" TargetMode="External"/><Relationship Id="rId104" Type="http://schemas.openxmlformats.org/officeDocument/2006/relationships/hyperlink" Target="https://infomediacoid-my.sharepoint.com/:b:/r/personal/sri_yesus_infomedia_co_id/Documents/DOCUMENT%20NETWORK/ba%20dws/2024/PT%20INFOMEDIA%20NUSANTARA%202920.pdf?csf=1&amp;web=1&amp;e=taR50k" TargetMode="External"/><Relationship Id="rId120" Type="http://schemas.openxmlformats.org/officeDocument/2006/relationships/hyperlink" Target="https://infomediacoid-my.sharepoint.com/:b:/r/personal/sri_yesus_infomedia_co_id/Documents/DOCUMENT%20NETWORK/ba%20dws/2024/PT%20INFOMEDIA%20NUSANTARA%202472.pdf?csf=1&amp;web=1&amp;e=vE1cEP" TargetMode="External"/><Relationship Id="rId125" Type="http://schemas.openxmlformats.org/officeDocument/2006/relationships/hyperlink" Target="https://infomediacoid-my.sharepoint.com/:b:/r/personal/sri_yesus_infomedia_co_id/Documents/DOCUMENT%20NETWORK/ba%20dws/2025/BA_No_2043_BA_2025_Aktivasi%20Astinet_AO_2-2475950616%20(2).pdf?csf=1&amp;web=1&amp;e=5fdLy6" TargetMode="External"/><Relationship Id="rId141" Type="http://schemas.openxmlformats.org/officeDocument/2006/relationships/hyperlink" Target="https://infomediacoid-my.sharepoint.com/:b:/r/personal/sri_yesus_infomedia_co_id/Documents/DOCUMENT%20NETWORK/ba%20dws/2025/BA_No_2319_BA_2025_Aktivasi_Masking_Number_AO_2_2226440377_2_2226521987%20(2)%20(1).pdf?csf=1&amp;web=1&amp;e=vzfe1Q" TargetMode="External"/><Relationship Id="rId146" Type="http://schemas.openxmlformats.org/officeDocument/2006/relationships/hyperlink" Target="https://infomediacoid-my.sharepoint.com/:b:/r/personal/sri_yesus_infomedia_co_id/Documents/DOCUMENT%20NETWORK/ba%20dws/2025/BA%20Aktivasi_764_PT%20INFOMEDIA%20NUSANTARA_V_2025.pdf?csf=1&amp;web=1&amp;e=Bq3oTX" TargetMode="External"/><Relationship Id="rId167" Type="http://schemas.openxmlformats.org/officeDocument/2006/relationships/hyperlink" Target="https://infomediacoid-my.sharepoint.com/:b:/r/personal/sri_yesus_infomedia_co_id/Documents/DOCUMENT%20NETWORK/ba%20dws/2024/PT%20INFOMEDIA%20NUSANTARA%203659.pdf?csf=1&amp;web=1&amp;e=6s4gy3" TargetMode="External"/><Relationship Id="rId7" Type="http://schemas.openxmlformats.org/officeDocument/2006/relationships/hyperlink" Target="https://infomediacoid-my.sharepoint.com/:b:/r/personal/sri_yesus_infomedia_co_id/Documents/DOCUMENT%20NETWORK/ba%20dws/2024/20240528091928___NomorAkses___1500063.pdf?csf=1&amp;web=1&amp;e=r5JBkx" TargetMode="External"/><Relationship Id="rId71" Type="http://schemas.openxmlformats.org/officeDocument/2006/relationships/hyperlink" Target="https://infomediacoid-my.sharepoint.com/:b:/r/personal/sri_yesus_infomedia_co_id/Documents/DOCUMENT%20NETWORK/ba%20dws/2025/20240809120000___Astinet___OBC-Indihome.pdf?csf=1&amp;web=1&amp;e=5qyqNV" TargetMode="External"/><Relationship Id="rId92" Type="http://schemas.openxmlformats.org/officeDocument/2006/relationships/hyperlink" Target="https://infomediacoid-my.sharepoint.com/:b:/r/personal/sri_yesus_infomedia_co_id/Documents/DOCUMENT%20NETWORK/ba%20dws/2025/BA_No_1402_BA_2025_Aktivasi%20Metro_AO_2-2431399346%20(2).pdf?csf=1&amp;web=1&amp;e=b595MN" TargetMode="External"/><Relationship Id="rId162" Type="http://schemas.openxmlformats.org/officeDocument/2006/relationships/hyperlink" Target="https://infomediacoid-my.sharepoint.com/:b:/r/personal/sri_yesus_infomedia_co_id/Documents/DOCUMENT%20NETWORK/ba%20dws/2024/PT%20INFOMEDIA%20NUSANTARA%2089.pdf?csf=1&amp;web=1&amp;e=UtfSqK" TargetMode="External"/><Relationship Id="rId2" Type="http://schemas.openxmlformats.org/officeDocument/2006/relationships/hyperlink" Target="https://infomediacoid-my.sharepoint.com/:b:/r/personal/sri_yesus_infomedia_co_id/Documents/DOCUMENT%20NETWORK/ba%20dws/2024/20240308091136___MetroE___MORATELINDO-1500882.pdf?csf=1&amp;web=1&amp;e=q2V2gN" TargetMode="External"/><Relationship Id="rId29" Type="http://schemas.openxmlformats.org/officeDocument/2006/relationships/hyperlink" Target="https://infomediacoid-my.sharepoint.com/:b:/r/personal/sri_yesus_infomedia_co_id/Documents/DOCUMENT%20NETWORK/ba%20dws/2025/PT%20INFOMEDIA%20NUSANTARA%20262.pdf?csf=1&amp;web=1&amp;e=ogH37l" TargetMode="External"/><Relationship Id="rId24" Type="http://schemas.openxmlformats.org/officeDocument/2006/relationships/hyperlink" Target="https://infomediacoid-my.sharepoint.com/:b:/r/personal/sri_yesus_infomedia_co_id/Documents/DOCUMENT%20NETWORK/ba%20dws/2025/PT%20INFOMEDIA%20NUSANTARA%20134%202025%20(2).pdf?csf=1&amp;web=1&amp;e=aSWg4x" TargetMode="External"/><Relationship Id="rId40" Type="http://schemas.openxmlformats.org/officeDocument/2006/relationships/hyperlink" Target="https://infomediacoid-my.sharepoint.com/:b:/r/personal/sri_yesus_infomedia_co_id/Documents/DOCUMENT%20NETWORK/ba%20dws/2025/PT%20INFOMEDIA%20NUSANTARA%203638%20(1)_.pdf?csf=1&amp;web=1&amp;e=bwcp58" TargetMode="External"/><Relationship Id="rId45" Type="http://schemas.openxmlformats.org/officeDocument/2006/relationships/hyperlink" Target="https://infomediacoid-my.sharepoint.com/:b:/r/personal/sri_yesus_infomedia_co_id/Documents/DOCUMENT%20NETWORK/ba%20dws/2025/PT%20INFOMEDIA%20NUSANTARA%203661(1).pdf?csf=1&amp;web=1&amp;e=YDdyzg" TargetMode="External"/><Relationship Id="rId66" Type="http://schemas.openxmlformats.org/officeDocument/2006/relationships/hyperlink" Target="https://infomediacoid-my.sharepoint.com/:b:/r/personal/sri_yesus_infomedia_co_id/Documents/DOCUMENT%20NETWORK/ba%20dws/2025/20240731120000___Astinet___KEMENKES-SATU-SEHAT.pdf?csf=1&amp;web=1&amp;e=fkIevc" TargetMode="External"/><Relationship Id="rId87" Type="http://schemas.openxmlformats.org/officeDocument/2006/relationships/hyperlink" Target="https://infomediacoid-my.sharepoint.com/:b:/r/personal/sri_yesus_infomedia_co_id/Documents/DOCUMENT%20NETWORK/ba%20dws/2023/20230720043226___MetroE___1500597.pdf?csf=1&amp;web=1&amp;e=0w1xF1" TargetMode="External"/><Relationship Id="rId110" Type="http://schemas.openxmlformats.org/officeDocument/2006/relationships/hyperlink" Target="https://infomediacoid-my.sharepoint.com/:b:/r/personal/sri_yesus_infomedia_co_id/Documents/DOCUMENT%20NETWORK/ba%20dws/2024/PT%20INFOMEDIA%20NUSANTARA%203068.pdf?csf=1&amp;web=1&amp;e=SRCXoq" TargetMode="External"/><Relationship Id="rId115" Type="http://schemas.openxmlformats.org/officeDocument/2006/relationships/hyperlink" Target="https://infomediacoid-my.sharepoint.com/:b:/r/personal/sri_yesus_infomedia_co_id/Documents/DOCUMENT%20NETWORK/ba%20dws/2024/PT%20INFOMEDIA%20NUSANTARA%203170(1).pdf?csf=1&amp;web=1&amp;e=qhRmbB" TargetMode="External"/><Relationship Id="rId131" Type="http://schemas.openxmlformats.org/officeDocument/2006/relationships/hyperlink" Target="https://infomediacoid-my.sharepoint.com/:b:/r/personal/sri_yesus_infomedia_co_id/Documents/DOCUMENT%20NETWORK/ba%20dws/2025/BA_No_2320_BA_2025_Aktivasi_Masking_Number_AO_2_2228068744_2_2228078057%20(2)%20(1).pdf?csf=1&amp;web=1&amp;e=c3S7a8" TargetMode="External"/><Relationship Id="rId136" Type="http://schemas.openxmlformats.org/officeDocument/2006/relationships/hyperlink" Target="https://infomediacoid-my.sharepoint.com/:b:/r/personal/sri_yesus_infomedia_co_id/Documents/DOCUMENT%20NETWORK/ba%20dws/2025/BA_No_311_Aktivasi_Akses_Jasa_Call_Center_dan_Layanan.pdf?csf=1&amp;web=1&amp;e=nkqCy4" TargetMode="External"/><Relationship Id="rId157" Type="http://schemas.openxmlformats.org/officeDocument/2006/relationships/hyperlink" Target="https://infomediacoid-my.sharepoint.com/:b:/r/personal/sri_yesus_infomedia_co_id/Documents/DOCUMENT%20NETWORK/ba%20dws/2025/BA_No_1709_BA_2025_Aktivasi%20Astinet_AO_2-2409783057%20(2).pdf?csf=1&amp;web=1&amp;e=FDzf1Y" TargetMode="External"/><Relationship Id="rId61" Type="http://schemas.openxmlformats.org/officeDocument/2006/relationships/hyperlink" Target="https://infomediacoid-my.sharepoint.com/:b:/r/personal/sri_yesus_infomedia_co_id/Documents/DOCUMENT%20NETWORK/ba%20dws/2025/20240619092106___MetroE___1500045.pdf?csf=1&amp;web=1&amp;e=xQi31D" TargetMode="External"/><Relationship Id="rId82" Type="http://schemas.openxmlformats.org/officeDocument/2006/relationships/hyperlink" Target="https://infomediacoid-my.sharepoint.com/:b:/r/personal/sri_yesus_infomedia_co_id/Documents/DOCUMENT%20NETWORK/ba%20dws/2025/20240418100627___NomorAkses___150410-BAPENDA-JABAR.pdf?csf=1&amp;web=1&amp;e=nxZ7xk" TargetMode="External"/><Relationship Id="rId152" Type="http://schemas.openxmlformats.org/officeDocument/2006/relationships/hyperlink" Target="https://infomediacoid-my.sharepoint.com/:b:/r/personal/sri_yesus_infomedia_co_id/Documents/DOCUMENT%20NETWORK/ba%20dws/2025/BA_No%20973_Aktivasi%20Other_2%20AO%20(2)%20(1).pdf?csf=1&amp;web=1&amp;e=NUYPIL" TargetMode="External"/><Relationship Id="rId173" Type="http://schemas.openxmlformats.org/officeDocument/2006/relationships/hyperlink" Target="https://infomediacoid-my.sharepoint.com/:b:/r/personal/sri_yesus_infomedia_co_id/Documents/DOCUMENT%20NETWORK/ba%20dws/2024/PT%20INFOMEDIA%20NUSANTARA%204630.pdf?csf=1&amp;web=1&amp;e=DPDg1f" TargetMode="External"/><Relationship Id="rId19" Type="http://schemas.openxmlformats.org/officeDocument/2006/relationships/hyperlink" Target="https://infomediacoid-my.sharepoint.com/:b:/r/personal/sri_yesus_infomedia_co_id/Documents/DOCUMENT%20NETWORK/ba%20dws/2025/BA%20Aktivasi_844_PT%20INFOMEDIA%20NUSANTARA_XII_2024.pdf?csf=1&amp;web=1&amp;e=ctYelf" TargetMode="External"/><Relationship Id="rId14" Type="http://schemas.openxmlformats.org/officeDocument/2006/relationships/hyperlink" Target="https://infomediacoid-my.sharepoint.com/:b:/r/personal/sri_yesus_infomedia_co_id/Documents/DOCUMENT%20NETWORK/ba%20dws/2024/20240529094405___MaskingNumber___1500333.pdf?csf=1&amp;web=1&amp;e=jB3Lg2" TargetMode="External"/><Relationship Id="rId30" Type="http://schemas.openxmlformats.org/officeDocument/2006/relationships/hyperlink" Target="https://infomediacoid-my.sharepoint.com/:b:/r/personal/sri_yesus_infomedia_co_id/Documents/DOCUMENT%20NETWORK/ba%20dws/2025/PT%20INFOMEDIA%20NUSANTARA%204576.pdf?csf=1&amp;web=1&amp;e=xj096M" TargetMode="External"/><Relationship Id="rId35" Type="http://schemas.openxmlformats.org/officeDocument/2006/relationships/hyperlink" Target="https://infomediacoid-my.sharepoint.com/:b:/r/personal/sri_yesus_infomedia_co_id/Documents/DOCUMENT%20NETWORK/ba%20dws/2025/PT%20INFOMEDIA%20NUSANTARA%2088.pdf?csf=1&amp;web=1&amp;e=RTne7q" TargetMode="External"/><Relationship Id="rId56" Type="http://schemas.openxmlformats.org/officeDocument/2006/relationships/hyperlink" Target="https://infomediacoid-my.sharepoint.com/:b:/r/personal/sri_yesus_infomedia_co_id/Documents/DOCUMENT%20NETWORK/ba%20dws/2025/20240528095135___NomorAkses___1500933.pdf?csf=1&amp;web=1&amp;e=N8Y2Kf" TargetMode="External"/><Relationship Id="rId77" Type="http://schemas.openxmlformats.org/officeDocument/2006/relationships/hyperlink" Target="https://infomediacoid-my.sharepoint.com/:b:/r/personal/sri_yesus_infomedia_co_id/Documents/DOCUMENT%20NETWORK/ba%20dws/2025/20240308095302___VPNIP___BANK-SUMUT.pdf?csf=1&amp;web=1&amp;e=Su7c3g" TargetMode="External"/><Relationship Id="rId100" Type="http://schemas.openxmlformats.org/officeDocument/2006/relationships/hyperlink" Target="https://infomediacoid-my.sharepoint.com/:b:/r/personal/sri_yesus_infomedia_co_id/Documents/DOCUMENT%20NETWORK/ba%20dws/2024/PT%20INFOMEDIA%20NUSANTARA%202269.pdf?csf=1&amp;web=1&amp;e=f1lV2Z" TargetMode="External"/><Relationship Id="rId105" Type="http://schemas.openxmlformats.org/officeDocument/2006/relationships/hyperlink" Target="https://infomediacoid-my.sharepoint.com/:b:/r/personal/sri_yesus_infomedia_co_id/Documents/DOCUMENT%20NETWORK/ba%20dws/2024/PT%20INFOMEDIA%20NUSANTARA%202921.pdf?csf=1&amp;web=1&amp;e=gCdAk1" TargetMode="External"/><Relationship Id="rId126" Type="http://schemas.openxmlformats.org/officeDocument/2006/relationships/hyperlink" Target="https://infomediacoid-my.sharepoint.com/:b:/r/personal/sri_yesus_infomedia_co_id/Documents/DOCUMENT%20NETWORK/ba%20dws/2025/BA_No_2385_BA_2025_Aktivasi%20Astinet_AO_2-2479843255%20(2).pdf?csf=1&amp;web=1&amp;e=29LQL5" TargetMode="External"/><Relationship Id="rId147" Type="http://schemas.openxmlformats.org/officeDocument/2006/relationships/hyperlink" Target="https://infomediacoid-my.sharepoint.com/:b:/r/personal/sri_yesus_infomedia_co_id/Documents/DOCUMENT%20NETWORK/ba%20dws/2025/BA%20Aktivasi_1093_PT%20INFOMEDIA%20NUSANTARA_VII_2025.pdf?csf=1&amp;web=1&amp;e=KvUzwY" TargetMode="External"/><Relationship Id="rId168" Type="http://schemas.openxmlformats.org/officeDocument/2006/relationships/hyperlink" Target="https://infomediacoid-my.sharepoint.com/:b:/r/personal/sri_yesus_infomedia_co_id/Documents/DOCUMENT%20NETWORK/ba%20dws/2024/PT%20INFOMEDIA%20NUSANTARA%203728.pdf?csf=1&amp;web=1&amp;e=sMmAQc" TargetMode="External"/><Relationship Id="rId8" Type="http://schemas.openxmlformats.org/officeDocument/2006/relationships/hyperlink" Target="https://infomediacoid-my.sharepoint.com/:b:/r/personal/sri_yesus_infomedia_co_id/Documents/DOCUMENT%20NETWORK/ba%20dws/2024/20240528093817___NomorAkses___1500988.pdf?csf=1&amp;web=1&amp;e=JphRd3" TargetMode="External"/><Relationship Id="rId51" Type="http://schemas.openxmlformats.org/officeDocument/2006/relationships/hyperlink" Target="https://infomediacoid-my.sharepoint.com/:b:/r/personal/sri_yesus_infomedia_co_id/Documents/DOCUMENT%20NETWORK/ba%20dws/2025/PT%20INFOMEDIA%20NUSANTARA%204645.pdf?csf=1&amp;web=1&amp;e=VzitO2" TargetMode="External"/><Relationship Id="rId72" Type="http://schemas.openxmlformats.org/officeDocument/2006/relationships/hyperlink" Target="https://infomediacoid-my.sharepoint.com/:b:/r/personal/sri_yesus_infomedia_co_id/Documents/DOCUMENT%20NETWORK/ba%20dws/2025/20240731120000___MetroE___CC-BJB.pdf?csf=1&amp;web=1&amp;e=hQAcJ5" TargetMode="External"/><Relationship Id="rId93" Type="http://schemas.openxmlformats.org/officeDocument/2006/relationships/hyperlink" Target="https://infomediacoid-my.sharepoint.com/:b:/r/personal/sri_yesus_infomedia_co_id/Documents/DOCUMENT%20NETWORK/ba%20dws/2025/DO_BA_No_2714_BA_2025_Deaktivasi_Astinet_AO_2-2406055886.pdf?csf=1&amp;web=1&amp;e=9k3VgH" TargetMode="External"/><Relationship Id="rId98" Type="http://schemas.openxmlformats.org/officeDocument/2006/relationships/hyperlink" Target="https://infomediacoid-my.sharepoint.com/:b:/r/personal/sri_yesus_infomedia_co_id/Documents/DOCUMENT%20NETWORK/ba%20dws/2024/BA%202409%20IPPBX%202-2195644090%20(POH).pdf?csf=1&amp;web=1&amp;e=SFP4sM" TargetMode="External"/><Relationship Id="rId121" Type="http://schemas.openxmlformats.org/officeDocument/2006/relationships/hyperlink" Target="https://infomediacoid-my.sharepoint.com/:b:/r/personal/sri_yesus_infomedia_co_id/Documents/DOCUMENT%20NETWORK/ba%20dws/2024/BA_No%20805_Aktivasi%20Astinet_AO%202-2291305664.pdf?csf=1&amp;web=1&amp;e=CBgaZM" TargetMode="External"/><Relationship Id="rId142" Type="http://schemas.openxmlformats.org/officeDocument/2006/relationships/hyperlink" Target="https://infomediacoid-my.sharepoint.com/:b:/r/personal/sri_yesus_infomedia_co_id/Documents/DOCUMENT%20NETWORK/ba%20dws/2025/BA_No_2319_BA_2025_Aktivasi_Masking_Number_AO_2_2226440377_2_2226521987%20(2)%20(1).pdf?csf=1&amp;web=1&amp;e=vzfe1Q" TargetMode="External"/><Relationship Id="rId163" Type="http://schemas.openxmlformats.org/officeDocument/2006/relationships/hyperlink" Target="https://infomediacoid-my.sharepoint.com/:b:/r/personal/sri_yesus_infomedia_co_id/Documents/DOCUMENT%20NETWORK/ba%20dws/2025/PT%20INFOMEDIA%20NUSANTARA%20337.pdf?csf=1&amp;web=1&amp;e=oUuKGC" TargetMode="External"/><Relationship Id="rId3" Type="http://schemas.openxmlformats.org/officeDocument/2006/relationships/hyperlink" Target="https://infomediacoid-my.sharepoint.com/:b:/r/personal/sri_yesus_infomedia_co_id/Documents/DOCUMENT%20NETWORK/ba%20dws/2024/20240308093024___NomorAkses___1500019-RSIA-SENTUL-CIKAMPEK.pdf?csf=1&amp;web=1&amp;e=89Sxig" TargetMode="External"/><Relationship Id="rId25" Type="http://schemas.openxmlformats.org/officeDocument/2006/relationships/hyperlink" Target="https://infomediacoid-my.sharepoint.com/:b:/r/personal/sri_yesus_infomedia_co_id/Documents/DOCUMENT%20NETWORK/ba%20dws/2025/PT%20INFOMEDIA%20NUSANTARA%20135%202025%20(2).pdf?csf=1&amp;web=1&amp;e=GS7jOu" TargetMode="External"/><Relationship Id="rId46" Type="http://schemas.openxmlformats.org/officeDocument/2006/relationships/hyperlink" Target="https://infomediacoid-my.sharepoint.com/:b:/r/personal/sri_yesus_infomedia_co_id/Documents/DOCUMENT%20NETWORK/ba%20dws/2025/PT%20INFOMEDIA%20NUSANTARA%203671%20(3).pdf?csf=1&amp;web=1&amp;e=cQb4ew" TargetMode="External"/><Relationship Id="rId67" Type="http://schemas.openxmlformats.org/officeDocument/2006/relationships/hyperlink" Target="https://infomediacoid-my.sharepoint.com/:b:/r/personal/sri_yesus_infomedia_co_id/Documents/DOCUMENT%20NETWORK/ba%20dws/2025/20240731120000___MetroE___1500016.pdf?csf=1&amp;web=1&amp;e=lTWcUZ" TargetMode="External"/><Relationship Id="rId116" Type="http://schemas.openxmlformats.org/officeDocument/2006/relationships/hyperlink" Target="https://infomediacoid-my.sharepoint.com/:b:/r/personal/sri_yesus_infomedia_co_id/Documents/DOCUMENT%20NETWORK/ba%20dws/2024/PT%20INFOMEDIA%20NUSANTARA%203219.pdf?csf=1&amp;web=1&amp;e=5xnBTW" TargetMode="External"/><Relationship Id="rId137" Type="http://schemas.openxmlformats.org/officeDocument/2006/relationships/hyperlink" Target="https://infomediacoid-my.sharepoint.com/:b:/r/personal/sri_yesus_infomedia_co_id/Documents/DOCUMENT%20NETWORK/ba%20dws/2025/BA_No_311_Aktivasi_Akses_Jasa_Call_Center_dan_Layanan.pdf?csf=1&amp;web=1&amp;e=uoRTiK" TargetMode="External"/><Relationship Id="rId158" Type="http://schemas.openxmlformats.org/officeDocument/2006/relationships/hyperlink" Target="https://infomediacoid-my.sharepoint.com/:b:/r/personal/sri_yesus_infomedia_co_id/Documents/DOCUMENT%20NETWORK/ba%20dws/2025/BA_No_1710_BA_2025_Aktivasi%20Metro_AO_2-2433293929%20(2)%20(1).pdf?csf=1&amp;web=1&amp;e=1Tgzph" TargetMode="External"/><Relationship Id="rId20" Type="http://schemas.openxmlformats.org/officeDocument/2006/relationships/hyperlink" Target="https://infomediacoid-my.sharepoint.com/:b:/r/personal/sri_yesus_infomedia_co_id/Documents/DOCUMENT%20NETWORK/ba%20dws/2025/PT%20INFOMEDIA%20NUSANTARA%20337.pdf?csf=1&amp;web=1&amp;e=DhoRnJ" TargetMode="External"/><Relationship Id="rId41" Type="http://schemas.openxmlformats.org/officeDocument/2006/relationships/hyperlink" Target="https://infomediacoid-my.sharepoint.com/:b:/r/personal/sri_yesus_infomedia_co_id/Documents/DOCUMENT%20NETWORK/ba%20dws/2025/PT%20INFOMEDIA%20NUSANTARA%203640.pdf?csf=1&amp;web=1&amp;e=aZIRK9" TargetMode="External"/><Relationship Id="rId62" Type="http://schemas.openxmlformats.org/officeDocument/2006/relationships/hyperlink" Target="https://infomediacoid-my.sharepoint.com/:b:/r/personal/sri_yesus_infomedia_co_id/Documents/DOCUMENT%20NETWORK/ba%20dws/2025/20240619094107___Astinet___CC-BANK-INDIA.pdf?csf=1&amp;web=1&amp;e=1nHRBd" TargetMode="External"/><Relationship Id="rId83" Type="http://schemas.openxmlformats.org/officeDocument/2006/relationships/hyperlink" Target="https://infomediacoid-my.sharepoint.com/:b:/r/personal/sri_yesus_infomedia_co_id/Documents/DOCUMENT%20NETWORK/ba%20dws/2023/20230720030322___Astinet___LAYANAN-BJB.pdf?csf=1&amp;web=1&amp;e=iLSSX3" TargetMode="External"/><Relationship Id="rId88" Type="http://schemas.openxmlformats.org/officeDocument/2006/relationships/hyperlink" Target="https://infomediacoid-my.sharepoint.com/:b:/r/personal/sri_yesus_infomedia_co_id/Documents/DOCUMENT%20NETWORK/ba%20dws/2023/20230720044808___MetroE___.pdf?csf=1&amp;web=1&amp;e=V6dV1G" TargetMode="External"/><Relationship Id="rId111" Type="http://schemas.openxmlformats.org/officeDocument/2006/relationships/hyperlink" Target="https://infomediacoid-my.sharepoint.com/:b:/r/personal/sri_yesus_infomedia_co_id/Documents/DOCUMENT%20NETWORK/ba%20dws/2024/PT%20INFOMEDIA%20NUSANTARA%203084.pdf?csf=1&amp;web=1&amp;e=aivdyp" TargetMode="External"/><Relationship Id="rId132" Type="http://schemas.openxmlformats.org/officeDocument/2006/relationships/hyperlink" Target="https://infomediacoid-my.sharepoint.com/:b:/r/personal/sri_yesus_infomedia_co_id/Documents/DOCUMENT%20NETWORK/ba%20dws/2025/BA_No_2320_BA_2025_Aktivasi_Masking_Number_AO_2_2228068744_2_2228078057%20(2)%20(1).pdf?csf=1&amp;web=1&amp;e=c3S7a8" TargetMode="External"/><Relationship Id="rId153" Type="http://schemas.openxmlformats.org/officeDocument/2006/relationships/hyperlink" Target="https://infomediacoid-my.sharepoint.com/:b:/r/personal/sri_yesus_infomedia_co_id/Documents/DOCUMENT%20NETWORK/ba%20dws/2025/BA_No%20973_Aktivasi%20Other_2%20AO%20(2)%20(1).pdf?csf=1&amp;web=1&amp;e=SxfjU5" TargetMode="External"/><Relationship Id="rId174" Type="http://schemas.openxmlformats.org/officeDocument/2006/relationships/hyperlink" Target="https://infomediacoid-my.sharepoint.com/:b:/r/personal/sri_yesus_infomedia_co_id/Documents/DOCUMENT%20NETWORK/ba%20dws/2024/PT%20INFOMEDIA%20NUSANTARA%204665%202024%20(2).pdf?csf=1&amp;web=1&amp;e=MblCn3" TargetMode="External"/><Relationship Id="rId15" Type="http://schemas.openxmlformats.org/officeDocument/2006/relationships/hyperlink" Target="https://infomediacoid-my.sharepoint.com/:b:/r/personal/sri_yesus_infomedia_co_id/Documents/DOCUMENT%20NETWORK/ba%20dws/2024/20240529095231___Astinet___BKPM.pdf?csf=1&amp;web=1&amp;e=ABQQbB" TargetMode="External"/><Relationship Id="rId36" Type="http://schemas.openxmlformats.org/officeDocument/2006/relationships/hyperlink" Target="https://infomediacoid-my.sharepoint.com/:b:/r/personal/sri_yesus_infomedia_co_id/Documents/DOCUMENT%20NETWORK/ba%20dws/2025/PT%20INFOMEDIA%20NUSANTARA%2091.pdf?csf=1&amp;web=1&amp;e=Pyv4AT" TargetMode="External"/><Relationship Id="rId57" Type="http://schemas.openxmlformats.org/officeDocument/2006/relationships/hyperlink" Target="https://infomediacoid-my.sharepoint.com/:b:/r/personal/sri_yesus_infomedia_co_id/Documents/DOCUMENT%20NETWORK/ba%20dws/2025/20240530033417___NomorAkses___150707.pdf?csf=1&amp;web=1&amp;e=UntHqR" TargetMode="External"/><Relationship Id="rId106" Type="http://schemas.openxmlformats.org/officeDocument/2006/relationships/hyperlink" Target="https://infomediacoid-my.sharepoint.com/:b:/r/personal/sri_yesus_infomedia_co_id/Documents/DOCUMENT%20NETWORK/ba%20dws/2024/PT%20INFOMEDIA%20NUSANTARA%202922.pdf?csf=1&amp;web=1&amp;e=Udg55G" TargetMode="External"/><Relationship Id="rId127" Type="http://schemas.openxmlformats.org/officeDocument/2006/relationships/hyperlink" Target="https://infomediacoid-my.sharepoint.com/:b:/r/personal/sri_yesus_infomedia_co_id/Documents/DOCUMENT%20NETWORK/ba%20dws/2025/BA_No_2337_BA_2025_Aktivasi%20Other_2%20AO%20(2).pdf?csf=1&amp;web=1&amp;e=RhcaZC" TargetMode="External"/><Relationship Id="rId10" Type="http://schemas.openxmlformats.org/officeDocument/2006/relationships/hyperlink" Target="https://infomediacoid-my.sharepoint.com/:b:/r/personal/sri_yesus_infomedia_co_id/Documents/DOCUMENT%20NETWORK/ba%20dws/2024/20240528101101___Astinet___SPGDT-119-KOTA-CIMAHI.pdf?csf=1&amp;web=1&amp;e=unvoe5" TargetMode="External"/><Relationship Id="rId31" Type="http://schemas.openxmlformats.org/officeDocument/2006/relationships/hyperlink" Target="https://infomediacoid-my.sharepoint.com/:b:/r/personal/sri_yesus_infomedia_co_id/Documents/DOCUMENT%20NETWORK/ba%20dws/2025/PT%20INFOMEDIA%20NUSANTARA%204636.pdf?csf=1&amp;web=1&amp;e=OIvEwi" TargetMode="External"/><Relationship Id="rId52" Type="http://schemas.openxmlformats.org/officeDocument/2006/relationships/hyperlink" Target="https://infomediacoid-my.sharepoint.com/:b:/r/personal/sri_yesus_infomedia_co_id/Documents/DOCUMENT%20NETWORK/ba%20dws/2025/PT%20INFOMEDIA%20NUSANTARA%204677.pdf?csf=1&amp;web=1&amp;e=bvg25e" TargetMode="External"/><Relationship Id="rId73" Type="http://schemas.openxmlformats.org/officeDocument/2006/relationships/hyperlink" Target="https://infomediacoid-my.sharepoint.com/:b:/r/personal/sri_yesus_infomedia_co_id/Documents/DOCUMENT%20NETWORK/ba%20dws/2025/20240809120000___MetroE___1500133-Layanan-Bank-Fama.pdf?csf=1&amp;web=1&amp;e=iZjtyy" TargetMode="External"/><Relationship Id="rId78" Type="http://schemas.openxmlformats.org/officeDocument/2006/relationships/hyperlink" Target="https://infomediacoid-my.sharepoint.com/:b:/r/personal/sri_yesus_infomedia_co_id/Documents/DOCUMENT%20NETWORK/ba%20dws/2025/20240809120000___MetroE___1500750-PT-Bussan-Auto-Finance.pdf?csf=1&amp;web=1&amp;e=Fbhvoy" TargetMode="External"/><Relationship Id="rId94" Type="http://schemas.openxmlformats.org/officeDocument/2006/relationships/hyperlink" Target="https://infomediacoid-my.sharepoint.com/:b:/r/personal/sri_yesus_infomedia_co_id/Documents/DOCUMENT%20NETWORK/ba%20dws/2024/ASTINet%20Infomedia%20Nusantara_Tel.1275%20YN%20000_24%20Juli%202024.pdf?csf=1&amp;web=1&amp;e=vgbfUS" TargetMode="External"/><Relationship Id="rId99" Type="http://schemas.openxmlformats.org/officeDocument/2006/relationships/hyperlink" Target="https://infomediacoid-my.sharepoint.com/:b:/r/personal/sri_yesus_infomedia_co_id/Documents/DOCUMENT%20NETWORK/ba%20dws/2024/BA%20AO%20INFOMEDIA%20NUSANTARA_SBU_2024_2064.pdf?csf=1&amp;web=1&amp;e=15phz3" TargetMode="External"/><Relationship Id="rId101" Type="http://schemas.openxmlformats.org/officeDocument/2006/relationships/hyperlink" Target="https://infomediacoid-my.sharepoint.com/:b:/r/personal/sri_yesus_infomedia_co_id/Documents/DOCUMENT%20NETWORK/ba%20dws/2024/PT%20INFOMEDIA%20NUSANTARA%202736.pdf?csf=1&amp;web=1&amp;e=tl7ocI" TargetMode="External"/><Relationship Id="rId122" Type="http://schemas.openxmlformats.org/officeDocument/2006/relationships/hyperlink" Target="https://infomediacoid-my.sharepoint.com/:b:/r/personal/sri_yesus_infomedia_co_id/Documents/DOCUMENT%20NETWORK/ba%20dws/2025/BA%20Aktivasi_1511_PT%20INFOMEDIA%20NUSANTARA_IX_2025.pdf?csf=1&amp;web=1&amp;e=Ch54El" TargetMode="External"/><Relationship Id="rId143" Type="http://schemas.openxmlformats.org/officeDocument/2006/relationships/hyperlink" Target="https://infomediacoid-my.sharepoint.com/:b:/r/personal/sri_yesus_infomedia_co_id/Documents/DOCUMENT%20NETWORK/ba%20dws/2025/BA_No_603_Aktivasi_AO_2_site_cek_carent_Layanan%20(2).pdf?csf=1&amp;web=1&amp;e=xVIEdY" TargetMode="External"/><Relationship Id="rId148" Type="http://schemas.openxmlformats.org/officeDocument/2006/relationships/hyperlink" Target="https://infomediacoid-my.sharepoint.com/:b:/r/personal/sri_yesus_infomedia_co_id/Documents/DOCUMENT%20NETWORK/ba%20dws/2025/BA_No%20571_Aktivasi%20Astinet_2-2394732946%20(2).pdf?csf=1&amp;web=1&amp;e=0ojC7T" TargetMode="External"/><Relationship Id="rId164" Type="http://schemas.openxmlformats.org/officeDocument/2006/relationships/hyperlink" Target="https://infomediacoid-my.sharepoint.com/:b:/r/personal/sri_yesus_infomedia_co_id/Documents/DOCUMENT%20NETWORK/ba%20dws/2024/BA_No%20856_BA_2024_Upgrade%20Astinet_AO%202-2310974696.pdf?csf=1&amp;web=1&amp;e=5IQDWg" TargetMode="External"/><Relationship Id="rId169" Type="http://schemas.openxmlformats.org/officeDocument/2006/relationships/hyperlink" Target="https://infomediacoid-my.sharepoint.com/:b:/r/personal/sri_yesus_infomedia_co_id/Documents/DOCUMENT%20NETWORK/ba%20dws/2024/PT%20INFOMEDIA%20NUSANTARA%204466.pdf?csf=1&amp;web=1&amp;e=yj3Gk3" TargetMode="External"/><Relationship Id="rId4" Type="http://schemas.openxmlformats.org/officeDocument/2006/relationships/hyperlink" Target="https://infomediacoid-my.sharepoint.com/:b:/r/personal/sri_yesus_infomedia_co_id/Documents/DOCUMENT%20NETWORK/ba%20dws/2024/20240308100337___Astinet___.pdf?csf=1&amp;web=1&amp;e=pLmHZo" TargetMode="External"/><Relationship Id="rId9" Type="http://schemas.openxmlformats.org/officeDocument/2006/relationships/hyperlink" Target="https://infomediacoid-my.sharepoint.com/:b:/r/personal/sri_yesus_infomedia_co_id/Documents/DOCUMENT%20NETWORK/ba%20dws/2024/20240528095705___MaskingNumber___1500818.pdf?csf=1&amp;web=1&amp;e=z1vPOc" TargetMode="External"/><Relationship Id="rId26" Type="http://schemas.openxmlformats.org/officeDocument/2006/relationships/hyperlink" Target="https://infomediacoid-my.sharepoint.com/:b:/r/personal/sri_yesus_infomedia_co_id/Documents/DOCUMENT%20NETWORK/ba%20dws/2025/PT%20INFOMEDIA%20NUSANTARA%20138%202025%20(2).pdf?csf=1&amp;web=1&amp;e=8FiY65" TargetMode="External"/><Relationship Id="rId47" Type="http://schemas.openxmlformats.org/officeDocument/2006/relationships/hyperlink" Target="https://infomediacoid-my.sharepoint.com/:b:/r/personal/sri_yesus_infomedia_co_id/Documents/DOCUMENT%20NETWORK/ba%20dws/2025/PT%20INFOMEDIA%20NUSANTARA%203782.pdf?csf=1&amp;web=1&amp;e=KkHjcD" TargetMode="External"/><Relationship Id="rId68" Type="http://schemas.openxmlformats.org/officeDocument/2006/relationships/hyperlink" Target="https://infomediacoid-my.sharepoint.com/:b:/r/personal/sri_yesus_infomedia_co_id/Documents/DOCUMENT%20NETWORK/ba%20dws/2025/20240731120000___MetroE___1500488-RS-Hermina.pdf?csf=1&amp;web=1&amp;e=TwvwDG" TargetMode="External"/><Relationship Id="rId89" Type="http://schemas.openxmlformats.org/officeDocument/2006/relationships/hyperlink" Target="https://infomediacoid-my.sharepoint.com/:b:/r/personal/sri_yesus_infomedia_co_id/Documents/DOCUMENT%20NETWORK/ba%20dws/2023/20230720064635___NomorAkses___1500310-PT-ZULU-ALPHA-PAPA-(ZAP).pdf?csf=1&amp;web=1&amp;e=QLa0Um" TargetMode="External"/><Relationship Id="rId112" Type="http://schemas.openxmlformats.org/officeDocument/2006/relationships/hyperlink" Target="https://infomediacoid-my.sharepoint.com/:b:/r/personal/sri_yesus_infomedia_co_id/Documents/DOCUMENT%20NETWORK/ba%20dws/2024/PT%20INFOMEDIA%20NUSANTARA%203127.pdf?csf=1&amp;web=1&amp;e=ZPK2q0" TargetMode="External"/><Relationship Id="rId133" Type="http://schemas.openxmlformats.org/officeDocument/2006/relationships/hyperlink" Target="https://infomediacoid-my.sharepoint.com/:b:/r/personal/sri_yesus_infomedia_co_id/Documents/DOCUMENT%20NETWORK/ba%20dws/2025/BA_No_311_Aktivasi_Akses_Jasa_Call_Center_dan_Layanan.pdf?csf=1&amp;web=1&amp;e=QgvFq0" TargetMode="External"/><Relationship Id="rId154" Type="http://schemas.openxmlformats.org/officeDocument/2006/relationships/hyperlink" Target="https://infomediacoid-my.sharepoint.com/:b:/r/personal/sri_yesus_infomedia_co_id/Documents/DOCUMENT%20NETWORK/ba%20dws/2025/BA_No%201008_Aktivasi%20Astinet_AO_2-2409728832%20(2).pdf?csf=1&amp;web=1&amp;e=sTMYPy" TargetMode="External"/><Relationship Id="rId175" Type="http://schemas.openxmlformats.org/officeDocument/2006/relationships/hyperlink" Target="https://infomediacoid-my.sharepoint.com/:b:/r/personal/sri_yesus_infomedia_co_id/Documents/DOCUMENT%20NETWORK/ba%20dws/2024/PT%20INFOMEDIA%20NUSANTARA%204673%202024.pdf?csf=1&amp;web=1&amp;e=6LgEJ5" TargetMode="External"/><Relationship Id="rId16" Type="http://schemas.openxmlformats.org/officeDocument/2006/relationships/hyperlink" Target="https://infomediacoid-my.sharepoint.com/:b:/r/personal/sri_yesus_infomedia_co_id/Documents/DOCUMENT%20NETWORK/ba%20dws/2024/20240528094427___MaskingNumber___1500045.pdf?csf=1&amp;web=1&amp;e=C8CODS" TargetMode="External"/><Relationship Id="rId37" Type="http://schemas.openxmlformats.org/officeDocument/2006/relationships/hyperlink" Target="https://infomediacoid-my.sharepoint.com/:b:/r/personal/sri_yesus_infomedia_co_id/Documents/DOCUMENT%20NETWORK/ba%20dws/2025/2-2326041287%20PT%20INFOMEDIA%20NUSANTARA%20317.pdf?csf=1&amp;web=1&amp;e=cMwUhu" TargetMode="External"/><Relationship Id="rId58" Type="http://schemas.openxmlformats.org/officeDocument/2006/relationships/hyperlink" Target="https://infomediacoid-my.sharepoint.com/:b:/r/personal/sri_yesus_infomedia_co_id/Documents/DOCUMENT%20NETWORK/ba%20dws/2025/20240530035022___NomorAkses___1500217.pdf?csf=1&amp;web=1&amp;e=306QgW" TargetMode="External"/><Relationship Id="rId79" Type="http://schemas.openxmlformats.org/officeDocument/2006/relationships/hyperlink" Target="https://infomediacoid-my.sharepoint.com/:b:/r/personal/sri_yesus_infomedia_co_id/Documents/DOCUMENT%20NETWORK/ba%20dws/2025/20240809120000___VPNIP___BANK-SUMUT.pdf?csf=1&amp;web=1&amp;e=nyppMj" TargetMode="External"/><Relationship Id="rId102" Type="http://schemas.openxmlformats.org/officeDocument/2006/relationships/hyperlink" Target="https://infomediacoid-my.sharepoint.com/:b:/r/personal/sri_yesus_infomedia_co_id/Documents/DOCUMENT%20NETWORK/ba%20dws/2024/PT%20INFOMEDIA%20NUSANTARA%202833%202024.pdf?csf=1&amp;web=1&amp;e=Kj0GRl" TargetMode="External"/><Relationship Id="rId123" Type="http://schemas.openxmlformats.org/officeDocument/2006/relationships/hyperlink" Target="https://infomediacoid-my.sharepoint.com/:b:/r/personal/sri_yesus_infomedia_co_id/Documents/DOCUMENT%20NETWORK/ba%20dws/2025/BA%20Aktivasi_BA_No%202673_Aktivasi%20Astinet_AO_2_SITE%20(2).pdf?csf=1&amp;web=1&amp;e=UdPigm" TargetMode="External"/><Relationship Id="rId144" Type="http://schemas.openxmlformats.org/officeDocument/2006/relationships/hyperlink" Target="https://infomediacoid-my.sharepoint.com/:b:/r/personal/sri_yesus_infomedia_co_id/Documents/DOCUMENT%20NETWORK/ba%20dws/2025/BA_No_603_Aktivasi_AO_2_site_cek_carent_Layanan%20(2).pdf?csf=1&amp;web=1&amp;e=LRebhN" TargetMode="External"/><Relationship Id="rId90" Type="http://schemas.openxmlformats.org/officeDocument/2006/relationships/hyperlink" Target="https://infomediacoid-my.sharepoint.com/:b:/r/personal/sri_yesus_infomedia_co_id/Documents/DOCUMENT%20NETWORK/ba%20dws/2025/BA_No%20484_Aktivasi%20Other_2%20AO%20(2).pdf?csf=1&amp;web=1&amp;e=WYaDBI" TargetMode="External"/><Relationship Id="rId165" Type="http://schemas.openxmlformats.org/officeDocument/2006/relationships/hyperlink" Target="https://infomediacoid-my.sharepoint.com/:b:/r/personal/sri_yesus_infomedia_co_id/Documents/DOCUMENT%20NETWORK/ba%20dws/2024/Infomedia%20Nusantara_Tel.214%20YN%20000%20T3R_5%20September%202024.pdf?csf=1&amp;web=1&amp;e=30baGu" TargetMode="External"/><Relationship Id="rId27" Type="http://schemas.openxmlformats.org/officeDocument/2006/relationships/hyperlink" Target="https://infomediacoid-my.sharepoint.com/:b:/r/personal/sri_yesus_infomedia_co_id/Documents/DOCUMENT%20NETWORK/ba%20dws/2025/PT%20INFOMEDIA%20NUSANTARA%20139%202025%20(2).pdf?csf=1&amp;web=1&amp;e=exGMCN" TargetMode="External"/><Relationship Id="rId48" Type="http://schemas.openxmlformats.org/officeDocument/2006/relationships/hyperlink" Target="https://infomediacoid-my.sharepoint.com/:b:/r/personal/sri_yesus_infomedia_co_id/Documents/DOCUMENT%20NETWORK/ba%20dws/2025/PT%20INFOMEDIA%20NUSANTARA%203783.pdf?csf=1&amp;web=1&amp;e=7KpD06" TargetMode="External"/><Relationship Id="rId69" Type="http://schemas.openxmlformats.org/officeDocument/2006/relationships/hyperlink" Target="https://infomediacoid-my.sharepoint.com/:b:/r/personal/sri_yesus_infomedia_co_id/Documents/DOCUMENT%20NETWORK/ba%20dws/2025/20240731120000___MetroE___1500852.pdf?csf=1&amp;web=1&amp;e=JMWqeu" TargetMode="External"/><Relationship Id="rId113" Type="http://schemas.openxmlformats.org/officeDocument/2006/relationships/hyperlink" Target="https://infomediacoid-my.sharepoint.com/:b:/r/personal/sri_yesus_infomedia_co_id/Documents/DOCUMENT%20NETWORK/ba%20dws/2024/PT%20INFOMEDIA%20NUSANTARA%203128.pdf?csf=1&amp;web=1&amp;e=GQ2umS" TargetMode="External"/><Relationship Id="rId134" Type="http://schemas.openxmlformats.org/officeDocument/2006/relationships/hyperlink" Target="https://infomediacoid-my.sharepoint.com/:b:/r/personal/sri_yesus_infomedia_co_id/Documents/DOCUMENT%20NETWORK/ba%20dws/2025/BA_No_311_Aktivasi_Akses_Jasa_Call_Center_dan_Layanan.pdf?csf=1&amp;web=1&amp;e=TX2nDi" TargetMode="External"/><Relationship Id="rId80" Type="http://schemas.openxmlformats.org/officeDocument/2006/relationships/hyperlink" Target="https://infomediacoid-my.sharepoint.com/:b:/r/personal/sri_yesus_infomedia_co_id/Documents/DOCUMENT%20NETWORK/ba%20dws/2025/20240308100008___Astinet___.pdf?csf=1&amp;web=1&amp;e=UbGhls" TargetMode="External"/><Relationship Id="rId155" Type="http://schemas.openxmlformats.org/officeDocument/2006/relationships/hyperlink" Target="https://infomediacoid-my.sharepoint.com/:b:/r/personal/sri_yesus_infomedia_co_id/Documents/DOCUMENT%20NETWORK/ba%20dws/2025/BA_No_983_Aktivasi_Other_AO_2_2410737241%20(2).pdf?csf=1&amp;web=1&amp;e=n5dgcP" TargetMode="External"/><Relationship Id="rId176" Type="http://schemas.openxmlformats.org/officeDocument/2006/relationships/hyperlink" Target="https://infomediacoid-my.sharepoint.com/:b:/r/personal/sri_yesus_infomedia_co_id/Documents/DOCUMENT%20NETWORK/ba%20dws/2025/135_BA%20Modifikasi_1354_PT%20INFOMEDIA%20NUSANTARA_VIII_2026_ASTINET.pdf?csf=1&amp;web=1&amp;e=NHLg6u" TargetMode="External"/><Relationship Id="rId17" Type="http://schemas.openxmlformats.org/officeDocument/2006/relationships/hyperlink" Target="https://infomediacoid-my.sharepoint.com/:b:/r/personal/sri_yesus_infomedia_co_id/Documents/DOCUMENT%20NETWORK/ba%20dws/2024/20240530031805___NomorAkses___1500211.pdf?csf=1&amp;web=1&amp;e=b1Zu4e" TargetMode="External"/><Relationship Id="rId38" Type="http://schemas.openxmlformats.org/officeDocument/2006/relationships/hyperlink" Target="https://infomediacoid-my.sharepoint.com/:b:/r/personal/sri_yesus_infomedia_co_id/Documents/DOCUMENT%20NETWORK/ba%20dws/2025/2-2228430754%20PT%20INFOMEDIA%20NUSANTARA%20232_.pdf?csf=1&amp;web=1&amp;e=b37T2T" TargetMode="External"/><Relationship Id="rId59" Type="http://schemas.openxmlformats.org/officeDocument/2006/relationships/hyperlink" Target="https://infomediacoid-my.sharepoint.com/:b:/r/personal/sri_yesus_infomedia_co_id/Documents/DOCUMENT%20NETWORK/ba%20dws/2025/20240530040836___NomorAkses___ADHIVASINDO.pdf?csf=1&amp;web=1&amp;e=g4QE8Y" TargetMode="External"/><Relationship Id="rId103" Type="http://schemas.openxmlformats.org/officeDocument/2006/relationships/hyperlink" Target="https://infomediacoid-my.sharepoint.com/:b:/r/personal/sri_yesus_infomedia_co_id/Documents/DOCUMENT%20NETWORK/ba%20dws/2024/PT%20INFOMEDIA%20NUSANTARA%202901.pdf?csf=1&amp;web=1&amp;e=JvTSUy" TargetMode="External"/><Relationship Id="rId124" Type="http://schemas.openxmlformats.org/officeDocument/2006/relationships/hyperlink" Target="https://infomediacoid-my.sharepoint.com/:b:/r/personal/sri_yesus_infomedia_co_id/Documents/DOCUMENT%20NETWORK/ba%20dws/2025/BA%20Aktivasi_BA_No%202673_Aktivasi%20Astinet_AO_2_SITE%20(2).pdf?csf=1&amp;web=1&amp;e=UdPigm" TargetMode="External"/><Relationship Id="rId70" Type="http://schemas.openxmlformats.org/officeDocument/2006/relationships/hyperlink" Target="https://infomediacoid-my.sharepoint.com/:b:/r/personal/sri_yesus_infomedia_co_id/Documents/DOCUMENT%20NETWORK/ba%20dws/2025/20240809120000___Astinet___OBC-Indihome.pdf?csf=1&amp;web=1&amp;e=5qyqNV" TargetMode="External"/><Relationship Id="rId91" Type="http://schemas.openxmlformats.org/officeDocument/2006/relationships/hyperlink" Target="https://infomediacoid-my.sharepoint.com/:b:/r/personal/sri_yesus_infomedia_co_id/Documents/DOCUMENT%20NETWORK/ba%20dws/2025/BA_No%20484_Aktivasi%20Other_2%20AO%20(2).pdf?csf=1&amp;web=1&amp;e=WYaDBI" TargetMode="External"/><Relationship Id="rId145" Type="http://schemas.openxmlformats.org/officeDocument/2006/relationships/hyperlink" Target="https://infomediacoid-my.sharepoint.com/:b:/r/personal/sri_yesus_infomedia_co_id/Documents/DOCUMENT%20NETWORK/ba%20dws/2024/PT%20INFOMEDIA%20NUSANTARA%204402.pdf?csf=1&amp;web=1&amp;e=qcgqOc" TargetMode="External"/><Relationship Id="rId166" Type="http://schemas.openxmlformats.org/officeDocument/2006/relationships/hyperlink" Target="https://infomediacoid-my.sharepoint.com/:b:/r/personal/sri_yesus_infomedia_co_id/Documents/DOCUMENT%20NETWORK/ba%20dws/2024/PT%20INFOMEDIA%20NUSANTARA%203638.pdf?csf=1&amp;web=1&amp;e=8FsfWF" TargetMode="External"/><Relationship Id="rId1" Type="http://schemas.openxmlformats.org/officeDocument/2006/relationships/hyperlink" Target="https://infomediacoid-my.sharepoint.com/:b:/r/personal/sri_yesus_infomedia_co_id/Documents/DOCUMENT%20NETWORK/ba%20dws/2024/20240529101029___MetroE___1500112-.pdf?csf=1&amp;web=1&amp;e=okqngj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24AD-4D91-4B45-AE7E-A7621A1C1CE2}">
  <dimension ref="A1:V326"/>
  <sheetViews>
    <sheetView workbookViewId="0">
      <pane xSplit="5" ySplit="1" topLeftCell="M319" activePane="bottomRight" state="frozen"/>
      <selection pane="bottomRight" activeCell="O326" sqref="O326"/>
      <selection pane="bottomLeft"/>
      <selection pane="topRight"/>
    </sheetView>
  </sheetViews>
  <sheetFormatPr defaultRowHeight="15"/>
  <cols>
    <col min="1" max="1" width="9" customWidth="1"/>
    <col min="2" max="2" width="19.140625" customWidth="1"/>
    <col min="3" max="3" width="7.7109375" customWidth="1"/>
    <col min="4" max="4" width="10.7109375" bestFit="1" customWidth="1"/>
    <col min="5" max="5" width="85.140625" customWidth="1"/>
    <col min="6" max="6" width="13.5703125" customWidth="1"/>
    <col min="7" max="7" width="12.140625" bestFit="1" customWidth="1"/>
    <col min="8" max="8" width="8.85546875" bestFit="1" customWidth="1"/>
    <col min="9" max="9" width="18.140625" style="17" customWidth="1"/>
    <col min="10" max="10" width="26" customWidth="1"/>
    <col min="11" max="11" width="17.5703125" bestFit="1" customWidth="1"/>
    <col min="12" max="12" width="26.5703125" bestFit="1" customWidth="1"/>
    <col min="13" max="13" width="23" bestFit="1" customWidth="1"/>
    <col min="14" max="14" width="11.85546875" bestFit="1" customWidth="1"/>
    <col min="15" max="15" width="9.5703125" bestFit="1" customWidth="1"/>
    <col min="17" max="17" width="6.28515625" bestFit="1" customWidth="1"/>
    <col min="18" max="18" width="11.140625" bestFit="1" customWidth="1"/>
    <col min="20" max="20" width="7.28515625" bestFit="1" customWidth="1"/>
    <col min="21" max="21" width="36.5703125" bestFit="1" customWidth="1"/>
  </cols>
  <sheetData>
    <row r="1" spans="1:22" s="1" customForma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66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52" t="s">
        <v>21</v>
      </c>
    </row>
    <row r="2" spans="1:22" s="1" customFormat="1">
      <c r="A2">
        <v>1</v>
      </c>
      <c r="B2" t="s">
        <v>22</v>
      </c>
      <c r="C2">
        <v>2024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s="17">
        <v>328800000</v>
      </c>
      <c r="J2" t="s">
        <v>28</v>
      </c>
      <c r="K2" t="s">
        <v>29</v>
      </c>
      <c r="L2" t="s">
        <v>30</v>
      </c>
      <c r="M2" s="27">
        <v>45266</v>
      </c>
      <c r="N2" s="27">
        <v>45294</v>
      </c>
      <c r="O2" t="s">
        <v>31</v>
      </c>
      <c r="P2" t="s">
        <v>32</v>
      </c>
      <c r="Q2"/>
      <c r="R2"/>
      <c r="S2"/>
      <c r="T2"/>
      <c r="U2"/>
      <c r="V2" s="152"/>
    </row>
    <row r="3" spans="1:22" s="1" customFormat="1">
      <c r="A3">
        <v>2</v>
      </c>
      <c r="B3" t="s">
        <v>33</v>
      </c>
      <c r="C3">
        <v>2024</v>
      </c>
      <c r="D3" t="s">
        <v>23</v>
      </c>
      <c r="E3" t="s">
        <v>34</v>
      </c>
      <c r="F3" t="s">
        <v>25</v>
      </c>
      <c r="G3" t="s">
        <v>35</v>
      </c>
      <c r="H3" t="s">
        <v>36</v>
      </c>
      <c r="I3" s="17">
        <v>85100000</v>
      </c>
      <c r="J3" t="s">
        <v>37</v>
      </c>
      <c r="K3" t="s">
        <v>29</v>
      </c>
      <c r="L3" t="s">
        <v>38</v>
      </c>
      <c r="M3" s="27">
        <v>45276</v>
      </c>
      <c r="N3" s="27">
        <v>45303</v>
      </c>
      <c r="O3" t="s">
        <v>31</v>
      </c>
      <c r="P3" t="s">
        <v>32</v>
      </c>
      <c r="Q3"/>
      <c r="R3"/>
      <c r="S3"/>
      <c r="T3"/>
      <c r="U3"/>
      <c r="V3" s="152"/>
    </row>
    <row r="4" spans="1:22" s="1" customFormat="1">
      <c r="A4">
        <v>3</v>
      </c>
      <c r="B4" t="s">
        <v>39</v>
      </c>
      <c r="C4">
        <v>2024</v>
      </c>
      <c r="D4" t="s">
        <v>23</v>
      </c>
      <c r="E4" t="s">
        <v>40</v>
      </c>
      <c r="F4" t="s">
        <v>25</v>
      </c>
      <c r="G4" t="s">
        <v>35</v>
      </c>
      <c r="H4" t="s">
        <v>41</v>
      </c>
      <c r="I4" s="17">
        <v>9980698000</v>
      </c>
      <c r="J4" t="s">
        <v>42</v>
      </c>
      <c r="K4" t="s">
        <v>43</v>
      </c>
      <c r="L4" t="s">
        <v>44</v>
      </c>
      <c r="M4" s="27">
        <v>45293</v>
      </c>
      <c r="N4" s="27">
        <v>45317</v>
      </c>
      <c r="O4" t="s">
        <v>45</v>
      </c>
      <c r="P4" t="s">
        <v>32</v>
      </c>
      <c r="Q4"/>
      <c r="R4"/>
      <c r="S4"/>
      <c r="T4"/>
      <c r="U4"/>
      <c r="V4" s="152"/>
    </row>
    <row r="5" spans="1:22" s="1" customFormat="1">
      <c r="A5">
        <v>4</v>
      </c>
      <c r="B5" t="s">
        <v>46</v>
      </c>
      <c r="C5">
        <v>2024</v>
      </c>
      <c r="D5" t="s">
        <v>23</v>
      </c>
      <c r="E5" t="s">
        <v>47</v>
      </c>
      <c r="F5" t="s">
        <v>48</v>
      </c>
      <c r="G5">
        <f>SUM('List Project'!I:I)</f>
        <v>2186264061103.0198</v>
      </c>
      <c r="H5" t="s">
        <v>49</v>
      </c>
      <c r="I5" s="17">
        <v>140460000</v>
      </c>
      <c r="J5" t="s">
        <v>42</v>
      </c>
      <c r="K5" t="s">
        <v>29</v>
      </c>
      <c r="L5" t="s">
        <v>50</v>
      </c>
      <c r="M5" s="27">
        <v>45300</v>
      </c>
      <c r="N5" s="27">
        <v>45324</v>
      </c>
      <c r="O5" t="s">
        <v>51</v>
      </c>
      <c r="P5" t="s">
        <v>32</v>
      </c>
      <c r="Q5"/>
      <c r="R5"/>
      <c r="S5"/>
      <c r="T5"/>
      <c r="U5"/>
      <c r="V5" s="152"/>
    </row>
    <row r="6" spans="1:22" s="1" customFormat="1">
      <c r="A6">
        <v>5</v>
      </c>
      <c r="B6" t="s">
        <v>52</v>
      </c>
      <c r="C6">
        <v>2024</v>
      </c>
      <c r="D6" t="s">
        <v>23</v>
      </c>
      <c r="E6" t="s">
        <v>53</v>
      </c>
      <c r="F6" t="s">
        <v>48</v>
      </c>
      <c r="G6" t="s">
        <v>26</v>
      </c>
      <c r="H6" t="s">
        <v>54</v>
      </c>
      <c r="I6" s="17">
        <v>88000000</v>
      </c>
      <c r="J6" t="s">
        <v>28</v>
      </c>
      <c r="K6" t="s">
        <v>29</v>
      </c>
      <c r="L6" t="s">
        <v>55</v>
      </c>
      <c r="M6" s="27">
        <v>45300</v>
      </c>
      <c r="N6" s="27">
        <v>45324</v>
      </c>
      <c r="O6" t="s">
        <v>31</v>
      </c>
      <c r="P6" t="s">
        <v>32</v>
      </c>
      <c r="Q6"/>
      <c r="R6"/>
      <c r="S6"/>
      <c r="T6"/>
      <c r="U6"/>
      <c r="V6" s="152"/>
    </row>
    <row r="7" spans="1:22" s="1" customFormat="1">
      <c r="A7">
        <v>6</v>
      </c>
      <c r="B7" t="s">
        <v>56</v>
      </c>
      <c r="C7">
        <v>2024</v>
      </c>
      <c r="D7" t="s">
        <v>23</v>
      </c>
      <c r="E7" t="s">
        <v>57</v>
      </c>
      <c r="F7" t="s">
        <v>25</v>
      </c>
      <c r="G7" t="s">
        <v>35</v>
      </c>
      <c r="H7" t="s">
        <v>36</v>
      </c>
      <c r="I7" s="17">
        <v>5060900901</v>
      </c>
      <c r="J7" t="s">
        <v>58</v>
      </c>
      <c r="K7" t="s">
        <v>43</v>
      </c>
      <c r="L7" t="s">
        <v>38</v>
      </c>
      <c r="M7" s="27">
        <v>45301</v>
      </c>
      <c r="N7" s="27">
        <v>45351</v>
      </c>
      <c r="O7" t="s">
        <v>31</v>
      </c>
      <c r="P7" t="s">
        <v>32</v>
      </c>
      <c r="Q7"/>
      <c r="R7"/>
      <c r="S7"/>
      <c r="T7"/>
      <c r="U7"/>
      <c r="V7" s="152"/>
    </row>
    <row r="8" spans="1:22" s="1" customFormat="1">
      <c r="A8">
        <v>7</v>
      </c>
      <c r="B8" t="s">
        <v>59</v>
      </c>
      <c r="C8">
        <v>2024</v>
      </c>
      <c r="D8" t="s">
        <v>23</v>
      </c>
      <c r="E8" t="s">
        <v>60</v>
      </c>
      <c r="F8" t="s">
        <v>25</v>
      </c>
      <c r="G8" t="s">
        <v>26</v>
      </c>
      <c r="H8" t="s">
        <v>27</v>
      </c>
      <c r="I8" s="17">
        <v>32506539688</v>
      </c>
      <c r="J8" t="s">
        <v>58</v>
      </c>
      <c r="K8" t="s">
        <v>43</v>
      </c>
      <c r="L8" t="s">
        <v>61</v>
      </c>
      <c r="M8" s="27">
        <v>45302</v>
      </c>
      <c r="N8" s="27">
        <v>45359</v>
      </c>
      <c r="O8" t="s">
        <v>31</v>
      </c>
      <c r="P8" t="s">
        <v>32</v>
      </c>
      <c r="Q8"/>
      <c r="R8"/>
      <c r="S8"/>
      <c r="T8"/>
      <c r="U8"/>
      <c r="V8" s="152"/>
    </row>
    <row r="9" spans="1:22" s="1" customFormat="1">
      <c r="A9">
        <v>8</v>
      </c>
      <c r="B9" t="s">
        <v>62</v>
      </c>
      <c r="C9">
        <v>2024</v>
      </c>
      <c r="D9" t="s">
        <v>23</v>
      </c>
      <c r="E9" t="s">
        <v>63</v>
      </c>
      <c r="F9" t="s">
        <v>48</v>
      </c>
      <c r="G9" t="s">
        <v>26</v>
      </c>
      <c r="H9" t="s">
        <v>54</v>
      </c>
      <c r="I9" s="17">
        <v>89000000</v>
      </c>
      <c r="J9" t="s">
        <v>58</v>
      </c>
      <c r="K9" t="s">
        <v>29</v>
      </c>
      <c r="L9" t="s">
        <v>64</v>
      </c>
      <c r="M9" s="27">
        <v>45302</v>
      </c>
      <c r="N9" s="27">
        <v>45328</v>
      </c>
      <c r="O9" t="s">
        <v>31</v>
      </c>
      <c r="P9" t="s">
        <v>32</v>
      </c>
      <c r="Q9"/>
      <c r="R9"/>
      <c r="S9"/>
      <c r="T9"/>
      <c r="U9"/>
      <c r="V9" s="152"/>
    </row>
    <row r="10" spans="1:22" s="1" customFormat="1">
      <c r="A10">
        <v>9</v>
      </c>
      <c r="B10" t="s">
        <v>65</v>
      </c>
      <c r="C10">
        <v>2024</v>
      </c>
      <c r="D10" t="s">
        <v>23</v>
      </c>
      <c r="E10" t="s">
        <v>66</v>
      </c>
      <c r="F10" t="s">
        <v>25</v>
      </c>
      <c r="G10" t="s">
        <v>35</v>
      </c>
      <c r="H10" t="s">
        <v>49</v>
      </c>
      <c r="I10" s="17">
        <v>840000000</v>
      </c>
      <c r="J10" t="s">
        <v>58</v>
      </c>
      <c r="K10" t="s">
        <v>67</v>
      </c>
      <c r="L10" t="s">
        <v>68</v>
      </c>
      <c r="M10" s="27">
        <v>45306</v>
      </c>
      <c r="N10" s="27">
        <v>45342</v>
      </c>
      <c r="O10" t="s">
        <v>69</v>
      </c>
      <c r="P10" t="s">
        <v>32</v>
      </c>
      <c r="Q10"/>
      <c r="R10"/>
      <c r="S10"/>
      <c r="T10"/>
      <c r="U10"/>
      <c r="V10" s="152"/>
    </row>
    <row r="11" spans="1:22" s="1" customFormat="1">
      <c r="A11">
        <v>10</v>
      </c>
      <c r="B11" t="s">
        <v>70</v>
      </c>
      <c r="C11">
        <v>2024</v>
      </c>
      <c r="D11" t="s">
        <v>23</v>
      </c>
      <c r="E11" t="s">
        <v>71</v>
      </c>
      <c r="F11" t="s">
        <v>48</v>
      </c>
      <c r="G11" t="s">
        <v>26</v>
      </c>
      <c r="H11" t="s">
        <v>54</v>
      </c>
      <c r="I11" s="17">
        <v>134000000</v>
      </c>
      <c r="J11" t="s">
        <v>28</v>
      </c>
      <c r="K11" t="s">
        <v>29</v>
      </c>
      <c r="L11" t="s">
        <v>64</v>
      </c>
      <c r="M11" s="27">
        <v>45308</v>
      </c>
      <c r="N11" s="27">
        <v>45442</v>
      </c>
      <c r="O11" t="s">
        <v>31</v>
      </c>
      <c r="P11" t="s">
        <v>32</v>
      </c>
      <c r="Q11"/>
      <c r="R11"/>
      <c r="S11"/>
      <c r="T11"/>
      <c r="U11"/>
      <c r="V11" s="152"/>
    </row>
    <row r="12" spans="1:22" s="1" customFormat="1">
      <c r="A12">
        <v>11</v>
      </c>
      <c r="B12" t="s">
        <v>72</v>
      </c>
      <c r="C12">
        <v>2024</v>
      </c>
      <c r="D12" t="s">
        <v>23</v>
      </c>
      <c r="E12" t="s">
        <v>73</v>
      </c>
      <c r="F12" t="s">
        <v>25</v>
      </c>
      <c r="G12" t="s">
        <v>26</v>
      </c>
      <c r="H12" t="s">
        <v>54</v>
      </c>
      <c r="I12" s="17">
        <v>51000000</v>
      </c>
      <c r="J12" t="s">
        <v>28</v>
      </c>
      <c r="K12" t="s">
        <v>29</v>
      </c>
      <c r="L12" t="s">
        <v>74</v>
      </c>
      <c r="M12" s="27">
        <v>45309</v>
      </c>
      <c r="N12" s="27">
        <v>45349</v>
      </c>
      <c r="O12" t="s">
        <v>31</v>
      </c>
      <c r="P12" t="s">
        <v>32</v>
      </c>
      <c r="Q12"/>
      <c r="R12"/>
      <c r="S12"/>
      <c r="T12"/>
      <c r="U12"/>
      <c r="V12" s="152"/>
    </row>
    <row r="13" spans="1:22" s="1" customFormat="1">
      <c r="A13">
        <v>12</v>
      </c>
      <c r="B13" t="s">
        <v>75</v>
      </c>
      <c r="C13">
        <v>2024</v>
      </c>
      <c r="D13" t="s">
        <v>23</v>
      </c>
      <c r="E13" t="s">
        <v>76</v>
      </c>
      <c r="F13" t="s">
        <v>25</v>
      </c>
      <c r="G13" t="s">
        <v>35</v>
      </c>
      <c r="H13" t="s">
        <v>41</v>
      </c>
      <c r="I13" s="17">
        <v>279540000</v>
      </c>
      <c r="J13" t="s">
        <v>58</v>
      </c>
      <c r="K13" t="s">
        <v>67</v>
      </c>
      <c r="L13" t="s">
        <v>68</v>
      </c>
      <c r="M13" s="27">
        <v>45310</v>
      </c>
      <c r="N13" s="27">
        <v>45342</v>
      </c>
      <c r="O13" t="s">
        <v>51</v>
      </c>
      <c r="P13" t="s">
        <v>32</v>
      </c>
      <c r="Q13"/>
      <c r="R13"/>
      <c r="S13"/>
      <c r="T13"/>
      <c r="U13"/>
      <c r="V13" s="152"/>
    </row>
    <row r="14" spans="1:22" s="1" customFormat="1">
      <c r="A14">
        <v>13</v>
      </c>
      <c r="B14" t="s">
        <v>77</v>
      </c>
      <c r="C14">
        <v>2024</v>
      </c>
      <c r="D14" t="s">
        <v>23</v>
      </c>
      <c r="E14" t="s">
        <v>78</v>
      </c>
      <c r="F14" t="s">
        <v>25</v>
      </c>
      <c r="G14" t="s">
        <v>35</v>
      </c>
      <c r="H14" t="s">
        <v>41</v>
      </c>
      <c r="I14" s="17">
        <v>2275675676</v>
      </c>
      <c r="J14" t="s">
        <v>58</v>
      </c>
      <c r="K14" t="s">
        <v>67</v>
      </c>
      <c r="L14" t="s">
        <v>79</v>
      </c>
      <c r="M14" s="27">
        <v>45315</v>
      </c>
      <c r="N14" s="27">
        <v>45352</v>
      </c>
      <c r="O14" t="s">
        <v>31</v>
      </c>
      <c r="P14" t="s">
        <v>32</v>
      </c>
      <c r="Q14"/>
      <c r="R14"/>
      <c r="S14"/>
      <c r="T14"/>
      <c r="U14"/>
      <c r="V14" s="152"/>
    </row>
    <row r="15" spans="1:22" s="1" customFormat="1">
      <c r="A15">
        <v>14</v>
      </c>
      <c r="B15" t="s">
        <v>80</v>
      </c>
      <c r="C15">
        <v>2024</v>
      </c>
      <c r="D15" t="s">
        <v>23</v>
      </c>
      <c r="E15" t="s">
        <v>81</v>
      </c>
      <c r="F15" t="s">
        <v>48</v>
      </c>
      <c r="G15" t="s">
        <v>26</v>
      </c>
      <c r="H15" t="s">
        <v>54</v>
      </c>
      <c r="I15" s="17">
        <v>2241600000</v>
      </c>
      <c r="J15" t="s">
        <v>28</v>
      </c>
      <c r="K15" t="s">
        <v>29</v>
      </c>
      <c r="L15" t="s">
        <v>55</v>
      </c>
      <c r="M15" s="27">
        <v>45317</v>
      </c>
      <c r="N15" s="27">
        <v>45352</v>
      </c>
      <c r="O15" t="s">
        <v>31</v>
      </c>
      <c r="P15" t="s">
        <v>32</v>
      </c>
      <c r="Q15"/>
      <c r="R15"/>
      <c r="S15"/>
      <c r="T15"/>
      <c r="U15"/>
      <c r="V15" s="152"/>
    </row>
    <row r="16" spans="1:22" s="1" customFormat="1">
      <c r="A16">
        <v>15</v>
      </c>
      <c r="B16" t="s">
        <v>82</v>
      </c>
      <c r="C16">
        <v>2024</v>
      </c>
      <c r="D16" t="s">
        <v>23</v>
      </c>
      <c r="E16" t="s">
        <v>83</v>
      </c>
      <c r="F16" t="s">
        <v>48</v>
      </c>
      <c r="G16" t="s">
        <v>35</v>
      </c>
      <c r="H16" t="s">
        <v>84</v>
      </c>
      <c r="I16" s="17">
        <v>136800000</v>
      </c>
      <c r="J16" t="s">
        <v>42</v>
      </c>
      <c r="K16" t="s">
        <v>29</v>
      </c>
      <c r="L16" t="s">
        <v>44</v>
      </c>
      <c r="M16" s="27">
        <v>45317</v>
      </c>
      <c r="N16" s="27">
        <v>45351</v>
      </c>
      <c r="O16" t="s">
        <v>51</v>
      </c>
      <c r="P16" t="s">
        <v>32</v>
      </c>
      <c r="Q16"/>
      <c r="R16"/>
      <c r="S16"/>
      <c r="T16"/>
      <c r="U16"/>
      <c r="V16" s="152"/>
    </row>
    <row r="17" spans="1:22" s="1" customFormat="1">
      <c r="A17">
        <v>16</v>
      </c>
      <c r="B17" t="s">
        <v>85</v>
      </c>
      <c r="C17">
        <v>2024</v>
      </c>
      <c r="D17" t="s">
        <v>23</v>
      </c>
      <c r="E17" t="s">
        <v>86</v>
      </c>
      <c r="F17" t="s">
        <v>25</v>
      </c>
      <c r="G17" t="s">
        <v>26</v>
      </c>
      <c r="H17" t="s">
        <v>87</v>
      </c>
      <c r="I17" s="17">
        <v>1326306180</v>
      </c>
      <c r="J17" t="s">
        <v>58</v>
      </c>
      <c r="K17" t="s">
        <v>67</v>
      </c>
      <c r="L17" t="s">
        <v>88</v>
      </c>
      <c r="M17" s="27">
        <v>45322</v>
      </c>
      <c r="N17" s="27">
        <v>45343</v>
      </c>
      <c r="O17" t="s">
        <v>31</v>
      </c>
      <c r="P17" t="s">
        <v>32</v>
      </c>
      <c r="Q17"/>
      <c r="R17"/>
      <c r="S17"/>
      <c r="T17"/>
      <c r="U17"/>
      <c r="V17" s="152"/>
    </row>
    <row r="18" spans="1:22" s="1" customFormat="1">
      <c r="A18">
        <v>17</v>
      </c>
      <c r="B18" t="s">
        <v>89</v>
      </c>
      <c r="C18">
        <v>2024</v>
      </c>
      <c r="D18" t="s">
        <v>23</v>
      </c>
      <c r="E18" t="s">
        <v>90</v>
      </c>
      <c r="F18" t="s">
        <v>48</v>
      </c>
      <c r="G18" t="s">
        <v>26</v>
      </c>
      <c r="H18" t="s">
        <v>91</v>
      </c>
      <c r="I18" s="17">
        <v>362184000</v>
      </c>
      <c r="J18" t="s">
        <v>28</v>
      </c>
      <c r="K18" t="s">
        <v>29</v>
      </c>
      <c r="L18" t="s">
        <v>55</v>
      </c>
      <c r="M18" s="27">
        <v>45322</v>
      </c>
      <c r="N18" s="27">
        <v>45350</v>
      </c>
      <c r="O18" t="s">
        <v>51</v>
      </c>
      <c r="P18" t="s">
        <v>32</v>
      </c>
      <c r="Q18"/>
      <c r="R18"/>
      <c r="S18"/>
      <c r="T18"/>
      <c r="U18"/>
      <c r="V18" s="152"/>
    </row>
    <row r="19" spans="1:22" s="1" customFormat="1">
      <c r="A19">
        <v>18</v>
      </c>
      <c r="B19" t="s">
        <v>92</v>
      </c>
      <c r="C19">
        <v>2024</v>
      </c>
      <c r="D19" t="s">
        <v>23</v>
      </c>
      <c r="E19" t="s">
        <v>93</v>
      </c>
      <c r="F19" t="s">
        <v>48</v>
      </c>
      <c r="G19" t="s">
        <v>26</v>
      </c>
      <c r="H19" t="s">
        <v>54</v>
      </c>
      <c r="I19" s="17">
        <v>102500000</v>
      </c>
      <c r="J19" t="s">
        <v>28</v>
      </c>
      <c r="K19" t="s">
        <v>29</v>
      </c>
      <c r="L19" t="s">
        <v>94</v>
      </c>
      <c r="M19" s="27">
        <v>45322</v>
      </c>
      <c r="N19" s="27">
        <v>45352</v>
      </c>
      <c r="O19" t="s">
        <v>31</v>
      </c>
      <c r="P19" t="s">
        <v>32</v>
      </c>
      <c r="Q19"/>
      <c r="R19"/>
      <c r="S19"/>
      <c r="T19"/>
      <c r="U19"/>
      <c r="V19" s="152"/>
    </row>
    <row r="20" spans="1:22" s="1" customFormat="1">
      <c r="A20">
        <v>19</v>
      </c>
      <c r="B20" t="s">
        <v>95</v>
      </c>
      <c r="C20">
        <v>2024</v>
      </c>
      <c r="D20" t="s">
        <v>96</v>
      </c>
      <c r="E20" t="s">
        <v>97</v>
      </c>
      <c r="F20" t="s">
        <v>48</v>
      </c>
      <c r="G20" t="s">
        <v>26</v>
      </c>
      <c r="H20" t="s">
        <v>54</v>
      </c>
      <c r="I20" s="17">
        <v>257960000</v>
      </c>
      <c r="J20" t="s">
        <v>28</v>
      </c>
      <c r="K20" t="s">
        <v>29</v>
      </c>
      <c r="L20" t="s">
        <v>64</v>
      </c>
      <c r="M20" s="27">
        <v>45324</v>
      </c>
      <c r="N20" s="27">
        <v>45437</v>
      </c>
      <c r="O20" t="s">
        <v>31</v>
      </c>
      <c r="P20" t="s">
        <v>32</v>
      </c>
      <c r="Q20"/>
      <c r="R20"/>
      <c r="S20"/>
      <c r="T20"/>
      <c r="U20"/>
      <c r="V20" s="152"/>
    </row>
    <row r="21" spans="1:22" s="1" customFormat="1">
      <c r="A21">
        <v>20</v>
      </c>
      <c r="B21" t="s">
        <v>98</v>
      </c>
      <c r="C21">
        <v>2024</v>
      </c>
      <c r="D21" t="s">
        <v>96</v>
      </c>
      <c r="E21" t="s">
        <v>99</v>
      </c>
      <c r="F21" t="s">
        <v>25</v>
      </c>
      <c r="G21" t="s">
        <v>26</v>
      </c>
      <c r="H21" t="s">
        <v>27</v>
      </c>
      <c r="I21" s="17">
        <v>2147650000</v>
      </c>
      <c r="J21" t="s">
        <v>28</v>
      </c>
      <c r="K21" t="s">
        <v>67</v>
      </c>
      <c r="L21" t="s">
        <v>100</v>
      </c>
      <c r="M21" s="27">
        <v>45328</v>
      </c>
      <c r="N21" s="27">
        <v>45359</v>
      </c>
      <c r="O21" t="s">
        <v>31</v>
      </c>
      <c r="P21" t="s">
        <v>32</v>
      </c>
      <c r="Q21"/>
      <c r="R21"/>
      <c r="S21"/>
      <c r="T21"/>
      <c r="U21"/>
      <c r="V21" s="152"/>
    </row>
    <row r="22" spans="1:22" s="1" customFormat="1">
      <c r="A22">
        <v>21</v>
      </c>
      <c r="B22" t="s">
        <v>101</v>
      </c>
      <c r="C22">
        <v>2024</v>
      </c>
      <c r="D22" t="s">
        <v>96</v>
      </c>
      <c r="E22" t="s">
        <v>102</v>
      </c>
      <c r="F22" t="s">
        <v>25</v>
      </c>
      <c r="G22" t="s">
        <v>26</v>
      </c>
      <c r="H22" t="s">
        <v>54</v>
      </c>
      <c r="I22" s="17">
        <v>892802400</v>
      </c>
      <c r="J22" t="s">
        <v>28</v>
      </c>
      <c r="K22" t="s">
        <v>67</v>
      </c>
      <c r="L22" t="s">
        <v>103</v>
      </c>
      <c r="M22" s="27">
        <v>45329</v>
      </c>
      <c r="N22" s="27">
        <v>45345</v>
      </c>
      <c r="O22" t="s">
        <v>51</v>
      </c>
      <c r="P22" t="s">
        <v>32</v>
      </c>
      <c r="Q22"/>
      <c r="R22"/>
      <c r="S22"/>
      <c r="T22"/>
      <c r="U22"/>
      <c r="V22" s="152"/>
    </row>
    <row r="23" spans="1:22" s="1" customFormat="1">
      <c r="A23">
        <v>22</v>
      </c>
      <c r="B23" t="s">
        <v>104</v>
      </c>
      <c r="C23">
        <v>2024</v>
      </c>
      <c r="D23" t="s">
        <v>96</v>
      </c>
      <c r="E23" t="s">
        <v>105</v>
      </c>
      <c r="F23" t="s">
        <v>25</v>
      </c>
      <c r="G23" t="s">
        <v>35</v>
      </c>
      <c r="H23" t="s">
        <v>36</v>
      </c>
      <c r="I23" s="17">
        <v>4950925676</v>
      </c>
      <c r="J23" t="s">
        <v>58</v>
      </c>
      <c r="K23" t="s">
        <v>43</v>
      </c>
      <c r="L23" t="s">
        <v>106</v>
      </c>
      <c r="M23" s="27">
        <v>45331</v>
      </c>
      <c r="N23" s="27">
        <v>45504</v>
      </c>
      <c r="O23" t="s">
        <v>69</v>
      </c>
      <c r="P23" t="s">
        <v>32</v>
      </c>
      <c r="Q23"/>
      <c r="R23"/>
      <c r="S23"/>
      <c r="T23"/>
      <c r="U23"/>
      <c r="V23" s="152"/>
    </row>
    <row r="24" spans="1:22" s="1" customFormat="1">
      <c r="A24">
        <v>23</v>
      </c>
      <c r="B24" t="s">
        <v>107</v>
      </c>
      <c r="C24">
        <v>2024</v>
      </c>
      <c r="D24" t="s">
        <v>96</v>
      </c>
      <c r="E24" t="s">
        <v>108</v>
      </c>
      <c r="F24" t="s">
        <v>25</v>
      </c>
      <c r="G24" t="s">
        <v>35</v>
      </c>
      <c r="H24" t="s">
        <v>49</v>
      </c>
      <c r="I24" s="17">
        <v>480000000</v>
      </c>
      <c r="J24" t="s">
        <v>58</v>
      </c>
      <c r="K24" t="s">
        <v>43</v>
      </c>
      <c r="L24" t="s">
        <v>109</v>
      </c>
      <c r="M24" s="27">
        <v>45334</v>
      </c>
      <c r="N24" s="27">
        <v>45351</v>
      </c>
      <c r="O24" t="s">
        <v>51</v>
      </c>
      <c r="P24" t="s">
        <v>32</v>
      </c>
      <c r="Q24"/>
      <c r="R24"/>
      <c r="S24"/>
      <c r="T24"/>
      <c r="U24"/>
      <c r="V24" s="152"/>
    </row>
    <row r="25" spans="1:22" s="1" customFormat="1">
      <c r="A25">
        <v>24</v>
      </c>
      <c r="B25" t="s">
        <v>110</v>
      </c>
      <c r="C25">
        <v>2024</v>
      </c>
      <c r="D25" t="s">
        <v>96</v>
      </c>
      <c r="E25" t="s">
        <v>111</v>
      </c>
      <c r="F25" t="s">
        <v>25</v>
      </c>
      <c r="G25" t="s">
        <v>26</v>
      </c>
      <c r="H25" t="s">
        <v>112</v>
      </c>
      <c r="I25" s="17">
        <v>5333952802</v>
      </c>
      <c r="J25" t="s">
        <v>37</v>
      </c>
      <c r="K25" t="s">
        <v>43</v>
      </c>
      <c r="L25" t="s">
        <v>113</v>
      </c>
      <c r="M25" s="27">
        <v>45337</v>
      </c>
      <c r="N25" s="27">
        <v>45359</v>
      </c>
      <c r="O25" t="s">
        <v>45</v>
      </c>
      <c r="P25" t="s">
        <v>32</v>
      </c>
      <c r="Q25"/>
      <c r="R25"/>
      <c r="S25"/>
      <c r="T25"/>
      <c r="U25"/>
      <c r="V25" s="152"/>
    </row>
    <row r="26" spans="1:22" s="1" customFormat="1">
      <c r="A26">
        <v>25</v>
      </c>
      <c r="B26" t="s">
        <v>114</v>
      </c>
      <c r="C26">
        <v>2024</v>
      </c>
      <c r="D26" t="s">
        <v>96</v>
      </c>
      <c r="E26" t="s">
        <v>115</v>
      </c>
      <c r="F26" t="s">
        <v>48</v>
      </c>
      <c r="G26" t="s">
        <v>35</v>
      </c>
      <c r="H26" t="s">
        <v>84</v>
      </c>
      <c r="I26" s="17">
        <v>441620000</v>
      </c>
      <c r="J26" t="s">
        <v>42</v>
      </c>
      <c r="K26" t="s">
        <v>29</v>
      </c>
      <c r="L26" t="s">
        <v>116</v>
      </c>
      <c r="M26" s="27">
        <v>45337</v>
      </c>
      <c r="N26" s="27">
        <v>45370</v>
      </c>
      <c r="O26" t="s">
        <v>69</v>
      </c>
      <c r="P26" t="s">
        <v>32</v>
      </c>
      <c r="Q26"/>
      <c r="R26"/>
      <c r="S26"/>
      <c r="T26"/>
      <c r="U26"/>
      <c r="V26" s="152"/>
    </row>
    <row r="27" spans="1:22" s="1" customFormat="1">
      <c r="A27">
        <v>26</v>
      </c>
      <c r="B27" t="s">
        <v>117</v>
      </c>
      <c r="C27">
        <v>2024</v>
      </c>
      <c r="D27" t="s">
        <v>96</v>
      </c>
      <c r="E27" t="s">
        <v>118</v>
      </c>
      <c r="F27" t="s">
        <v>25</v>
      </c>
      <c r="G27" t="s">
        <v>26</v>
      </c>
      <c r="H27" t="s">
        <v>112</v>
      </c>
      <c r="I27" s="17">
        <v>9304951219</v>
      </c>
      <c r="J27" t="s">
        <v>37</v>
      </c>
      <c r="K27" t="s">
        <v>43</v>
      </c>
      <c r="L27" t="s">
        <v>113</v>
      </c>
      <c r="M27" s="27">
        <v>45338</v>
      </c>
      <c r="N27" s="27">
        <v>45366</v>
      </c>
      <c r="O27" t="s">
        <v>45</v>
      </c>
      <c r="P27" t="s">
        <v>32</v>
      </c>
      <c r="Q27"/>
      <c r="R27"/>
      <c r="S27"/>
      <c r="T27"/>
      <c r="U27"/>
      <c r="V27" s="152"/>
    </row>
    <row r="28" spans="1:22" s="1" customFormat="1">
      <c r="A28">
        <v>27</v>
      </c>
      <c r="B28" t="s">
        <v>119</v>
      </c>
      <c r="C28">
        <v>2024</v>
      </c>
      <c r="D28" t="s">
        <v>96</v>
      </c>
      <c r="E28" t="s">
        <v>120</v>
      </c>
      <c r="F28" t="s">
        <v>25</v>
      </c>
      <c r="G28" t="s">
        <v>35</v>
      </c>
      <c r="H28" t="s">
        <v>36</v>
      </c>
      <c r="I28" s="17">
        <v>3169363000</v>
      </c>
      <c r="J28" t="s">
        <v>58</v>
      </c>
      <c r="K28" t="s">
        <v>43</v>
      </c>
      <c r="L28" t="s">
        <v>38</v>
      </c>
      <c r="M28" s="27">
        <v>45338</v>
      </c>
      <c r="N28" s="27">
        <v>45373</v>
      </c>
      <c r="O28" t="s">
        <v>31</v>
      </c>
      <c r="P28" t="s">
        <v>32</v>
      </c>
      <c r="Q28"/>
      <c r="R28"/>
      <c r="S28"/>
      <c r="T28"/>
      <c r="U28"/>
      <c r="V28" s="152"/>
    </row>
    <row r="29" spans="1:22" s="1" customFormat="1">
      <c r="A29">
        <v>28</v>
      </c>
      <c r="B29" t="s">
        <v>121</v>
      </c>
      <c r="C29">
        <v>2024</v>
      </c>
      <c r="D29" t="s">
        <v>96</v>
      </c>
      <c r="E29" t="s">
        <v>122</v>
      </c>
      <c r="F29" t="s">
        <v>48</v>
      </c>
      <c r="G29" t="s">
        <v>35</v>
      </c>
      <c r="H29" t="s">
        <v>123</v>
      </c>
      <c r="I29" s="17">
        <v>106000000</v>
      </c>
      <c r="J29" t="s">
        <v>42</v>
      </c>
      <c r="K29" t="s">
        <v>29</v>
      </c>
      <c r="L29" t="s">
        <v>50</v>
      </c>
      <c r="M29" s="27">
        <v>45338</v>
      </c>
      <c r="N29" s="27">
        <v>45372</v>
      </c>
      <c r="O29" t="s">
        <v>31</v>
      </c>
      <c r="P29" t="s">
        <v>32</v>
      </c>
      <c r="Q29"/>
      <c r="R29"/>
      <c r="S29"/>
      <c r="T29"/>
      <c r="U29"/>
      <c r="V29" s="152"/>
    </row>
    <row r="30" spans="1:22" s="1" customFormat="1">
      <c r="A30">
        <v>29</v>
      </c>
      <c r="B30" t="s">
        <v>124</v>
      </c>
      <c r="C30">
        <v>2024</v>
      </c>
      <c r="D30" t="s">
        <v>96</v>
      </c>
      <c r="E30" t="s">
        <v>125</v>
      </c>
      <c r="F30" t="s">
        <v>25</v>
      </c>
      <c r="G30" t="s">
        <v>35</v>
      </c>
      <c r="H30" t="s">
        <v>84</v>
      </c>
      <c r="I30" s="17">
        <v>519360000</v>
      </c>
      <c r="J30" t="s">
        <v>28</v>
      </c>
      <c r="K30" t="s">
        <v>29</v>
      </c>
      <c r="L30" t="s">
        <v>44</v>
      </c>
      <c r="M30" s="27">
        <v>45339</v>
      </c>
      <c r="N30" s="27">
        <v>45373</v>
      </c>
      <c r="O30" t="s">
        <v>31</v>
      </c>
      <c r="P30" t="s">
        <v>32</v>
      </c>
      <c r="Q30"/>
      <c r="R30"/>
      <c r="S30"/>
      <c r="T30"/>
      <c r="U30"/>
      <c r="V30" s="152"/>
    </row>
    <row r="31" spans="1:22" s="1" customFormat="1">
      <c r="A31">
        <v>30</v>
      </c>
      <c r="B31" t="s">
        <v>126</v>
      </c>
      <c r="C31">
        <v>2024</v>
      </c>
      <c r="D31" t="s">
        <v>96</v>
      </c>
      <c r="E31" t="s">
        <v>127</v>
      </c>
      <c r="F31" t="s">
        <v>128</v>
      </c>
      <c r="G31" t="s">
        <v>26</v>
      </c>
      <c r="H31" t="s">
        <v>129</v>
      </c>
      <c r="I31" s="17">
        <v>9953208800</v>
      </c>
      <c r="J31" t="s">
        <v>42</v>
      </c>
      <c r="K31" t="s">
        <v>43</v>
      </c>
      <c r="L31" t="s">
        <v>116</v>
      </c>
      <c r="M31" s="27">
        <v>45344</v>
      </c>
      <c r="N31" s="27">
        <v>45523</v>
      </c>
      <c r="O31" t="s">
        <v>51</v>
      </c>
      <c r="P31" t="s">
        <v>32</v>
      </c>
      <c r="Q31"/>
      <c r="R31"/>
      <c r="S31"/>
      <c r="T31"/>
      <c r="U31"/>
      <c r="V31" s="152"/>
    </row>
    <row r="32" spans="1:22" s="1" customFormat="1">
      <c r="A32">
        <v>31</v>
      </c>
      <c r="B32" t="s">
        <v>130</v>
      </c>
      <c r="C32">
        <v>2024</v>
      </c>
      <c r="D32" t="s">
        <v>96</v>
      </c>
      <c r="E32" t="s">
        <v>131</v>
      </c>
      <c r="F32" t="s">
        <v>25</v>
      </c>
      <c r="G32" t="s">
        <v>26</v>
      </c>
      <c r="H32" t="s">
        <v>54</v>
      </c>
      <c r="I32" s="17">
        <v>2663914906</v>
      </c>
      <c r="J32" t="s">
        <v>28</v>
      </c>
      <c r="K32" t="s">
        <v>43</v>
      </c>
      <c r="L32" t="s">
        <v>132</v>
      </c>
      <c r="M32" s="27">
        <v>45344</v>
      </c>
      <c r="N32" s="27">
        <v>45383</v>
      </c>
      <c r="O32" t="s">
        <v>69</v>
      </c>
      <c r="P32" t="s">
        <v>32</v>
      </c>
      <c r="Q32"/>
      <c r="R32"/>
      <c r="S32"/>
      <c r="T32"/>
      <c r="U32"/>
      <c r="V32" s="152"/>
    </row>
    <row r="33" spans="1:22" s="1" customFormat="1">
      <c r="A33">
        <v>32</v>
      </c>
      <c r="B33" t="s">
        <v>133</v>
      </c>
      <c r="C33">
        <v>2024</v>
      </c>
      <c r="D33" t="s">
        <v>96</v>
      </c>
      <c r="E33" t="s">
        <v>134</v>
      </c>
      <c r="F33" t="s">
        <v>25</v>
      </c>
      <c r="G33" t="s">
        <v>26</v>
      </c>
      <c r="H33" t="s">
        <v>54</v>
      </c>
      <c r="I33" s="17">
        <v>1407964800</v>
      </c>
      <c r="J33" t="s">
        <v>28</v>
      </c>
      <c r="K33" t="s">
        <v>67</v>
      </c>
      <c r="L33" t="s">
        <v>74</v>
      </c>
      <c r="M33" s="27">
        <v>45344</v>
      </c>
      <c r="N33" s="27">
        <v>45362</v>
      </c>
      <c r="O33" t="s">
        <v>31</v>
      </c>
      <c r="P33" t="s">
        <v>32</v>
      </c>
      <c r="Q33"/>
      <c r="R33"/>
      <c r="S33"/>
      <c r="T33"/>
      <c r="U33"/>
      <c r="V33" s="152"/>
    </row>
    <row r="34" spans="1:22" s="1" customFormat="1">
      <c r="A34">
        <v>33</v>
      </c>
      <c r="B34" t="s">
        <v>135</v>
      </c>
      <c r="C34">
        <v>2024</v>
      </c>
      <c r="D34" t="s">
        <v>96</v>
      </c>
      <c r="E34" t="s">
        <v>136</v>
      </c>
      <c r="F34" t="s">
        <v>48</v>
      </c>
      <c r="G34" t="s">
        <v>26</v>
      </c>
      <c r="H34" t="s">
        <v>91</v>
      </c>
      <c r="I34" s="17">
        <v>132600000</v>
      </c>
      <c r="J34" t="s">
        <v>58</v>
      </c>
      <c r="K34" t="s">
        <v>29</v>
      </c>
      <c r="L34" t="s">
        <v>88</v>
      </c>
      <c r="M34" s="27">
        <v>45345</v>
      </c>
      <c r="N34" s="27">
        <v>45376</v>
      </c>
      <c r="O34" t="s">
        <v>31</v>
      </c>
      <c r="P34" t="s">
        <v>32</v>
      </c>
      <c r="Q34"/>
      <c r="R34"/>
      <c r="S34"/>
      <c r="T34"/>
      <c r="U34"/>
      <c r="V34" s="152"/>
    </row>
    <row r="35" spans="1:22" s="1" customFormat="1">
      <c r="A35">
        <v>34</v>
      </c>
      <c r="B35" t="s">
        <v>137</v>
      </c>
      <c r="C35">
        <v>2024</v>
      </c>
      <c r="D35" t="s">
        <v>96</v>
      </c>
      <c r="E35" t="s">
        <v>138</v>
      </c>
      <c r="F35" t="s">
        <v>48</v>
      </c>
      <c r="G35" t="s">
        <v>35</v>
      </c>
      <c r="H35" t="s">
        <v>84</v>
      </c>
      <c r="I35" s="17">
        <v>91200000</v>
      </c>
      <c r="J35" t="s">
        <v>28</v>
      </c>
      <c r="K35" t="s">
        <v>29</v>
      </c>
      <c r="L35" t="s">
        <v>139</v>
      </c>
      <c r="M35" s="27">
        <v>45345</v>
      </c>
      <c r="N35" s="27">
        <v>45377</v>
      </c>
      <c r="O35" t="s">
        <v>31</v>
      </c>
      <c r="P35" t="s">
        <v>32</v>
      </c>
      <c r="Q35"/>
      <c r="R35"/>
      <c r="S35"/>
      <c r="T35"/>
      <c r="U35"/>
      <c r="V35" s="152"/>
    </row>
    <row r="36" spans="1:22" s="1" customFormat="1">
      <c r="A36">
        <v>35</v>
      </c>
      <c r="B36" t="s">
        <v>140</v>
      </c>
      <c r="C36">
        <v>2024</v>
      </c>
      <c r="D36" t="s">
        <v>96</v>
      </c>
      <c r="E36" t="s">
        <v>141</v>
      </c>
      <c r="F36" t="s">
        <v>25</v>
      </c>
      <c r="G36" t="s">
        <v>26</v>
      </c>
      <c r="H36" t="s">
        <v>91</v>
      </c>
      <c r="I36" s="17">
        <v>1556858800</v>
      </c>
      <c r="J36" t="s">
        <v>28</v>
      </c>
      <c r="K36" t="s">
        <v>67</v>
      </c>
      <c r="L36" t="s">
        <v>142</v>
      </c>
      <c r="M36" s="27">
        <v>45351</v>
      </c>
      <c r="N36" s="27">
        <v>45364</v>
      </c>
      <c r="O36" t="s">
        <v>51</v>
      </c>
      <c r="P36" t="s">
        <v>32</v>
      </c>
      <c r="Q36"/>
      <c r="R36"/>
      <c r="S36"/>
      <c r="T36"/>
      <c r="U36"/>
      <c r="V36" s="152"/>
    </row>
    <row r="37" spans="1:22" s="1" customFormat="1">
      <c r="A37">
        <v>36</v>
      </c>
      <c r="B37" t="s">
        <v>143</v>
      </c>
      <c r="C37">
        <v>2024</v>
      </c>
      <c r="D37" t="s">
        <v>144</v>
      </c>
      <c r="E37" t="s">
        <v>145</v>
      </c>
      <c r="F37" t="s">
        <v>25</v>
      </c>
      <c r="G37" t="s">
        <v>26</v>
      </c>
      <c r="H37" t="s">
        <v>112</v>
      </c>
      <c r="I37" s="17">
        <v>668468472</v>
      </c>
      <c r="J37" t="s">
        <v>58</v>
      </c>
      <c r="K37" t="s">
        <v>29</v>
      </c>
      <c r="L37" t="s">
        <v>88</v>
      </c>
      <c r="M37" s="27">
        <v>45352</v>
      </c>
      <c r="N37" s="27">
        <v>45383</v>
      </c>
      <c r="O37" t="s">
        <v>31</v>
      </c>
      <c r="P37" t="s">
        <v>32</v>
      </c>
      <c r="Q37"/>
      <c r="R37"/>
      <c r="S37"/>
      <c r="T37"/>
      <c r="U37"/>
      <c r="V37" s="152"/>
    </row>
    <row r="38" spans="1:22" s="1" customFormat="1">
      <c r="A38">
        <v>37</v>
      </c>
      <c r="B38" t="s">
        <v>146</v>
      </c>
      <c r="C38">
        <v>2024</v>
      </c>
      <c r="D38" t="s">
        <v>144</v>
      </c>
      <c r="E38" t="s">
        <v>147</v>
      </c>
      <c r="F38" t="s">
        <v>25</v>
      </c>
      <c r="G38" t="s">
        <v>26</v>
      </c>
      <c r="H38" t="s">
        <v>123</v>
      </c>
      <c r="I38" s="17">
        <v>1000000000</v>
      </c>
      <c r="J38" t="s">
        <v>58</v>
      </c>
      <c r="K38" t="s">
        <v>43</v>
      </c>
      <c r="L38" t="s">
        <v>61</v>
      </c>
      <c r="M38" s="27">
        <v>45353</v>
      </c>
      <c r="N38" s="27">
        <v>45378</v>
      </c>
      <c r="O38" t="s">
        <v>31</v>
      </c>
      <c r="P38" t="s">
        <v>32</v>
      </c>
      <c r="Q38"/>
      <c r="R38"/>
      <c r="S38"/>
      <c r="T38"/>
      <c r="U38"/>
      <c r="V38" s="152"/>
    </row>
    <row r="39" spans="1:22" s="1" customFormat="1">
      <c r="A39">
        <v>38</v>
      </c>
      <c r="B39" t="s">
        <v>148</v>
      </c>
      <c r="C39">
        <v>2024</v>
      </c>
      <c r="D39" t="s">
        <v>144</v>
      </c>
      <c r="E39" t="s">
        <v>149</v>
      </c>
      <c r="F39" t="s">
        <v>48</v>
      </c>
      <c r="G39" t="s">
        <v>26</v>
      </c>
      <c r="H39" t="s">
        <v>87</v>
      </c>
      <c r="I39" s="17">
        <v>180000000</v>
      </c>
      <c r="J39" t="s">
        <v>28</v>
      </c>
      <c r="K39" t="s">
        <v>29</v>
      </c>
      <c r="L39" t="s">
        <v>150</v>
      </c>
      <c r="M39" s="27">
        <v>45356</v>
      </c>
      <c r="N39" s="27">
        <v>45379</v>
      </c>
      <c r="O39" t="s">
        <v>69</v>
      </c>
      <c r="P39" t="s">
        <v>32</v>
      </c>
      <c r="Q39"/>
      <c r="R39"/>
      <c r="S39"/>
      <c r="T39"/>
      <c r="U39"/>
      <c r="V39" s="152"/>
    </row>
    <row r="40" spans="1:22" s="1" customFormat="1">
      <c r="A40">
        <v>39</v>
      </c>
      <c r="B40" t="s">
        <v>151</v>
      </c>
      <c r="C40">
        <v>2024</v>
      </c>
      <c r="D40" t="s">
        <v>144</v>
      </c>
      <c r="E40" t="s">
        <v>152</v>
      </c>
      <c r="F40" t="s">
        <v>48</v>
      </c>
      <c r="G40" t="s">
        <v>26</v>
      </c>
      <c r="H40" t="s">
        <v>87</v>
      </c>
      <c r="I40" s="17">
        <v>68700000</v>
      </c>
      <c r="J40" t="s">
        <v>28</v>
      </c>
      <c r="K40" t="s">
        <v>29</v>
      </c>
      <c r="L40" t="s">
        <v>150</v>
      </c>
      <c r="M40" s="27">
        <v>45356</v>
      </c>
      <c r="N40" s="27">
        <v>45378</v>
      </c>
      <c r="O40" t="s">
        <v>69</v>
      </c>
      <c r="P40" t="s">
        <v>32</v>
      </c>
      <c r="Q40"/>
      <c r="R40"/>
      <c r="S40"/>
      <c r="T40"/>
      <c r="U40"/>
      <c r="V40" s="152"/>
    </row>
    <row r="41" spans="1:22" s="1" customFormat="1">
      <c r="A41">
        <v>40</v>
      </c>
      <c r="B41" t="s">
        <v>153</v>
      </c>
      <c r="C41">
        <v>2024</v>
      </c>
      <c r="D41" t="s">
        <v>144</v>
      </c>
      <c r="E41" t="s">
        <v>154</v>
      </c>
      <c r="F41" t="s">
        <v>25</v>
      </c>
      <c r="G41" t="s">
        <v>35</v>
      </c>
      <c r="H41" t="s">
        <v>155</v>
      </c>
      <c r="I41" s="17">
        <v>26004000</v>
      </c>
      <c r="J41" t="s">
        <v>28</v>
      </c>
      <c r="K41" t="s">
        <v>29</v>
      </c>
      <c r="L41" t="s">
        <v>150</v>
      </c>
      <c r="M41" s="27">
        <v>45356</v>
      </c>
      <c r="N41" s="27">
        <v>45387</v>
      </c>
      <c r="O41" t="s">
        <v>31</v>
      </c>
      <c r="P41" t="s">
        <v>32</v>
      </c>
      <c r="Q41"/>
      <c r="R41"/>
      <c r="S41"/>
      <c r="T41"/>
      <c r="U41"/>
      <c r="V41" s="152"/>
    </row>
    <row r="42" spans="1:22" s="1" customFormat="1">
      <c r="A42">
        <v>41</v>
      </c>
      <c r="B42" t="s">
        <v>156</v>
      </c>
      <c r="C42">
        <v>2024</v>
      </c>
      <c r="D42" t="s">
        <v>144</v>
      </c>
      <c r="E42" t="s">
        <v>157</v>
      </c>
      <c r="F42" t="s">
        <v>25</v>
      </c>
      <c r="G42" t="s">
        <v>35</v>
      </c>
      <c r="H42" t="s">
        <v>155</v>
      </c>
      <c r="I42" s="17">
        <v>26004000</v>
      </c>
      <c r="J42" t="s">
        <v>28</v>
      </c>
      <c r="K42" t="s">
        <v>29</v>
      </c>
      <c r="L42" t="s">
        <v>150</v>
      </c>
      <c r="M42" s="27">
        <v>45356</v>
      </c>
      <c r="N42" s="27">
        <v>45387</v>
      </c>
      <c r="O42" t="s">
        <v>31</v>
      </c>
      <c r="P42" t="s">
        <v>32</v>
      </c>
      <c r="Q42"/>
      <c r="R42"/>
      <c r="S42"/>
      <c r="T42"/>
      <c r="U42"/>
      <c r="V42" s="152"/>
    </row>
    <row r="43" spans="1:22" s="1" customFormat="1">
      <c r="A43">
        <v>42</v>
      </c>
      <c r="B43" t="s">
        <v>158</v>
      </c>
      <c r="C43">
        <v>2024</v>
      </c>
      <c r="D43" t="s">
        <v>144</v>
      </c>
      <c r="E43" t="s">
        <v>159</v>
      </c>
      <c r="F43" t="s">
        <v>25</v>
      </c>
      <c r="G43" t="s">
        <v>35</v>
      </c>
      <c r="H43" t="s">
        <v>49</v>
      </c>
      <c r="I43" s="17">
        <v>1573980000</v>
      </c>
      <c r="J43" t="s">
        <v>42</v>
      </c>
      <c r="K43" t="s">
        <v>43</v>
      </c>
      <c r="L43" t="s">
        <v>116</v>
      </c>
      <c r="M43" s="27">
        <v>45370</v>
      </c>
      <c r="N43" s="27">
        <v>45407</v>
      </c>
      <c r="O43" t="s">
        <v>31</v>
      </c>
      <c r="P43" t="s">
        <v>32</v>
      </c>
      <c r="Q43"/>
      <c r="R43"/>
      <c r="S43"/>
      <c r="T43"/>
      <c r="U43"/>
      <c r="V43" s="152"/>
    </row>
    <row r="44" spans="1:22" s="1" customFormat="1">
      <c r="A44">
        <v>43</v>
      </c>
      <c r="B44" t="s">
        <v>160</v>
      </c>
      <c r="C44">
        <v>2024</v>
      </c>
      <c r="D44" t="s">
        <v>144</v>
      </c>
      <c r="E44" t="s">
        <v>161</v>
      </c>
      <c r="F44" t="s">
        <v>25</v>
      </c>
      <c r="G44" t="s">
        <v>35</v>
      </c>
      <c r="H44" t="s">
        <v>49</v>
      </c>
      <c r="I44" s="17">
        <v>10500000</v>
      </c>
      <c r="J44" t="s">
        <v>42</v>
      </c>
      <c r="K44" t="s">
        <v>29</v>
      </c>
      <c r="L44" t="s">
        <v>116</v>
      </c>
      <c r="M44" s="27">
        <v>45370</v>
      </c>
      <c r="N44" s="27">
        <v>45382</v>
      </c>
      <c r="O44" t="s">
        <v>51</v>
      </c>
      <c r="P44" t="s">
        <v>32</v>
      </c>
      <c r="Q44"/>
      <c r="R44"/>
      <c r="S44"/>
      <c r="T44"/>
      <c r="U44"/>
      <c r="V44" s="152"/>
    </row>
    <row r="45" spans="1:22" s="1" customFormat="1">
      <c r="A45">
        <v>44</v>
      </c>
      <c r="B45" t="s">
        <v>162</v>
      </c>
      <c r="C45">
        <v>2024</v>
      </c>
      <c r="D45" t="s">
        <v>144</v>
      </c>
      <c r="E45" t="s">
        <v>163</v>
      </c>
      <c r="F45" t="s">
        <v>25</v>
      </c>
      <c r="G45" t="s">
        <v>26</v>
      </c>
      <c r="H45" t="s">
        <v>54</v>
      </c>
      <c r="I45" s="17">
        <v>278548800</v>
      </c>
      <c r="J45" t="s">
        <v>58</v>
      </c>
      <c r="K45" t="s">
        <v>29</v>
      </c>
      <c r="L45" t="s">
        <v>50</v>
      </c>
      <c r="M45" s="27">
        <v>45371</v>
      </c>
      <c r="N45" s="27">
        <v>45415</v>
      </c>
      <c r="O45" t="s">
        <v>69</v>
      </c>
      <c r="P45" t="s">
        <v>32</v>
      </c>
      <c r="Q45"/>
      <c r="R45"/>
      <c r="S45"/>
      <c r="T45"/>
      <c r="U45"/>
      <c r="V45" s="152"/>
    </row>
    <row r="46" spans="1:22" s="1" customFormat="1">
      <c r="A46">
        <v>45</v>
      </c>
      <c r="B46" t="s">
        <v>164</v>
      </c>
      <c r="C46">
        <v>2024</v>
      </c>
      <c r="D46" t="s">
        <v>144</v>
      </c>
      <c r="E46" t="s">
        <v>165</v>
      </c>
      <c r="F46" t="s">
        <v>25</v>
      </c>
      <c r="G46" t="s">
        <v>26</v>
      </c>
      <c r="H46" t="s">
        <v>54</v>
      </c>
      <c r="I46" s="17">
        <v>179275676</v>
      </c>
      <c r="J46" t="s">
        <v>58</v>
      </c>
      <c r="K46" t="s">
        <v>29</v>
      </c>
      <c r="L46" t="s">
        <v>50</v>
      </c>
      <c r="M46" s="27">
        <v>45371</v>
      </c>
      <c r="N46" s="27">
        <v>45387</v>
      </c>
      <c r="O46" t="s">
        <v>69</v>
      </c>
      <c r="P46" t="s">
        <v>32</v>
      </c>
      <c r="Q46"/>
      <c r="R46"/>
      <c r="S46"/>
      <c r="T46"/>
      <c r="U46"/>
      <c r="V46" s="152"/>
    </row>
    <row r="47" spans="1:22" s="1" customFormat="1">
      <c r="A47">
        <v>46</v>
      </c>
      <c r="B47" t="s">
        <v>166</v>
      </c>
      <c r="C47">
        <v>2024</v>
      </c>
      <c r="D47" t="s">
        <v>144</v>
      </c>
      <c r="E47" t="s">
        <v>167</v>
      </c>
      <c r="F47" t="s">
        <v>25</v>
      </c>
      <c r="G47" t="s">
        <v>35</v>
      </c>
      <c r="H47" t="s">
        <v>36</v>
      </c>
      <c r="I47" s="17">
        <v>6526000000</v>
      </c>
      <c r="J47" t="s">
        <v>58</v>
      </c>
      <c r="K47" t="s">
        <v>67</v>
      </c>
      <c r="L47" t="s">
        <v>106</v>
      </c>
      <c r="M47" s="27">
        <v>45372</v>
      </c>
      <c r="N47" s="27">
        <v>45412</v>
      </c>
      <c r="O47" t="s">
        <v>31</v>
      </c>
      <c r="P47" t="s">
        <v>32</v>
      </c>
      <c r="Q47"/>
      <c r="R47"/>
      <c r="S47"/>
      <c r="T47"/>
      <c r="U47"/>
      <c r="V47" s="152"/>
    </row>
    <row r="48" spans="1:22" s="1" customFormat="1">
      <c r="A48">
        <v>47</v>
      </c>
      <c r="B48" t="s">
        <v>168</v>
      </c>
      <c r="C48">
        <v>2024</v>
      </c>
      <c r="D48" t="s">
        <v>144</v>
      </c>
      <c r="E48" t="s">
        <v>169</v>
      </c>
      <c r="F48" t="s">
        <v>25</v>
      </c>
      <c r="G48" t="s">
        <v>35</v>
      </c>
      <c r="H48" t="s">
        <v>49</v>
      </c>
      <c r="I48" s="17">
        <v>81252000</v>
      </c>
      <c r="J48" t="s">
        <v>42</v>
      </c>
      <c r="K48" t="s">
        <v>29</v>
      </c>
      <c r="L48" t="s">
        <v>116</v>
      </c>
      <c r="M48" s="27">
        <v>45376</v>
      </c>
      <c r="N48" s="27">
        <v>45408</v>
      </c>
      <c r="O48" t="s">
        <v>51</v>
      </c>
      <c r="P48" t="s">
        <v>32</v>
      </c>
      <c r="Q48"/>
      <c r="R48"/>
      <c r="S48"/>
      <c r="T48"/>
      <c r="U48"/>
      <c r="V48" s="152"/>
    </row>
    <row r="49" spans="1:22" s="1" customFormat="1">
      <c r="A49">
        <v>48</v>
      </c>
      <c r="B49" t="s">
        <v>170</v>
      </c>
      <c r="C49">
        <v>2024</v>
      </c>
      <c r="D49" t="s">
        <v>144</v>
      </c>
      <c r="E49" t="s">
        <v>171</v>
      </c>
      <c r="F49" t="s">
        <v>48</v>
      </c>
      <c r="G49" t="s">
        <v>35</v>
      </c>
      <c r="H49" t="s">
        <v>84</v>
      </c>
      <c r="I49" s="17">
        <v>257900000</v>
      </c>
      <c r="J49" t="s">
        <v>42</v>
      </c>
      <c r="K49" t="s">
        <v>29</v>
      </c>
      <c r="L49" t="s">
        <v>172</v>
      </c>
      <c r="M49" s="27">
        <v>45377</v>
      </c>
      <c r="N49" s="27">
        <v>45414</v>
      </c>
      <c r="O49" t="s">
        <v>31</v>
      </c>
      <c r="P49" t="s">
        <v>32</v>
      </c>
      <c r="Q49"/>
      <c r="R49"/>
      <c r="S49"/>
      <c r="T49"/>
      <c r="U49"/>
      <c r="V49" s="152"/>
    </row>
    <row r="50" spans="1:22" s="1" customFormat="1">
      <c r="A50">
        <v>49</v>
      </c>
      <c r="B50" t="s">
        <v>173</v>
      </c>
      <c r="C50">
        <v>2024</v>
      </c>
      <c r="D50" t="s">
        <v>144</v>
      </c>
      <c r="E50" t="s">
        <v>174</v>
      </c>
      <c r="F50" t="s">
        <v>48</v>
      </c>
      <c r="G50" t="s">
        <v>35</v>
      </c>
      <c r="H50" t="s">
        <v>84</v>
      </c>
      <c r="I50" s="17">
        <v>109600000</v>
      </c>
      <c r="J50" t="s">
        <v>42</v>
      </c>
      <c r="K50" t="s">
        <v>29</v>
      </c>
      <c r="L50" t="s">
        <v>116</v>
      </c>
      <c r="M50" s="27">
        <v>45377</v>
      </c>
      <c r="N50" s="27">
        <v>45412</v>
      </c>
      <c r="O50" t="s">
        <v>45</v>
      </c>
      <c r="P50" t="s">
        <v>32</v>
      </c>
      <c r="Q50"/>
      <c r="R50"/>
      <c r="S50"/>
      <c r="T50"/>
      <c r="U50"/>
      <c r="V50" s="152"/>
    </row>
    <row r="51" spans="1:22" s="1" customFormat="1">
      <c r="A51">
        <v>50</v>
      </c>
      <c r="B51" t="s">
        <v>175</v>
      </c>
      <c r="C51">
        <v>2024</v>
      </c>
      <c r="D51" t="s">
        <v>144</v>
      </c>
      <c r="E51" t="s">
        <v>176</v>
      </c>
      <c r="F51" t="s">
        <v>48</v>
      </c>
      <c r="G51" t="s">
        <v>35</v>
      </c>
      <c r="H51" t="s">
        <v>84</v>
      </c>
      <c r="I51" s="17">
        <v>257900000</v>
      </c>
      <c r="J51" t="s">
        <v>42</v>
      </c>
      <c r="K51" t="s">
        <v>29</v>
      </c>
      <c r="L51" t="s">
        <v>172</v>
      </c>
      <c r="M51" s="27">
        <v>45378</v>
      </c>
      <c r="N51" s="27">
        <v>45414</v>
      </c>
      <c r="O51" t="s">
        <v>31</v>
      </c>
      <c r="P51" t="s">
        <v>32</v>
      </c>
      <c r="Q51"/>
      <c r="R51"/>
      <c r="S51"/>
      <c r="T51"/>
      <c r="U51"/>
      <c r="V51" s="152"/>
    </row>
    <row r="52" spans="1:22" s="1" customFormat="1">
      <c r="A52">
        <v>51</v>
      </c>
      <c r="B52" t="s">
        <v>177</v>
      </c>
      <c r="C52">
        <v>2024</v>
      </c>
      <c r="D52" t="s">
        <v>144</v>
      </c>
      <c r="E52" t="s">
        <v>178</v>
      </c>
      <c r="F52" t="s">
        <v>48</v>
      </c>
      <c r="G52" t="s">
        <v>35</v>
      </c>
      <c r="H52" t="s">
        <v>179</v>
      </c>
      <c r="I52" s="17">
        <v>10717663128</v>
      </c>
      <c r="J52" t="s">
        <v>28</v>
      </c>
      <c r="K52" t="s">
        <v>43</v>
      </c>
      <c r="L52" t="s">
        <v>132</v>
      </c>
      <c r="M52" s="27">
        <v>45381</v>
      </c>
      <c r="N52" s="27">
        <v>45422</v>
      </c>
      <c r="O52" t="s">
        <v>51</v>
      </c>
      <c r="P52" t="s">
        <v>32</v>
      </c>
      <c r="Q52"/>
      <c r="R52"/>
      <c r="S52"/>
      <c r="T52"/>
      <c r="U52"/>
      <c r="V52" s="152"/>
    </row>
    <row r="53" spans="1:22" s="1" customFormat="1">
      <c r="A53">
        <v>52</v>
      </c>
      <c r="B53" t="s">
        <v>180</v>
      </c>
      <c r="C53">
        <v>2024</v>
      </c>
      <c r="D53" t="s">
        <v>144</v>
      </c>
      <c r="E53" t="s">
        <v>181</v>
      </c>
      <c r="F53" t="s">
        <v>48</v>
      </c>
      <c r="G53" t="s">
        <v>35</v>
      </c>
      <c r="H53" t="s">
        <v>36</v>
      </c>
      <c r="I53" s="17">
        <v>1455135135</v>
      </c>
      <c r="J53" t="s">
        <v>58</v>
      </c>
      <c r="K53" t="s">
        <v>67</v>
      </c>
      <c r="L53" t="s">
        <v>79</v>
      </c>
      <c r="M53" s="27">
        <v>45382</v>
      </c>
      <c r="N53" s="27">
        <v>45406</v>
      </c>
      <c r="O53" t="s">
        <v>69</v>
      </c>
      <c r="P53" t="s">
        <v>32</v>
      </c>
      <c r="Q53"/>
      <c r="R53"/>
      <c r="S53"/>
      <c r="T53"/>
      <c r="U53"/>
      <c r="V53" s="152"/>
    </row>
    <row r="54" spans="1:22" s="1" customFormat="1">
      <c r="A54">
        <v>53</v>
      </c>
      <c r="B54" t="s">
        <v>182</v>
      </c>
      <c r="C54">
        <v>2024</v>
      </c>
      <c r="D54" t="s">
        <v>183</v>
      </c>
      <c r="E54" t="s">
        <v>184</v>
      </c>
      <c r="F54" t="s">
        <v>48</v>
      </c>
      <c r="G54" t="s">
        <v>26</v>
      </c>
      <c r="H54" t="s">
        <v>87</v>
      </c>
      <c r="I54" s="17">
        <v>87700000</v>
      </c>
      <c r="J54" t="s">
        <v>58</v>
      </c>
      <c r="K54" t="s">
        <v>29</v>
      </c>
      <c r="L54" t="s">
        <v>185</v>
      </c>
      <c r="M54" s="27">
        <v>45383</v>
      </c>
      <c r="N54" s="27">
        <v>45446</v>
      </c>
      <c r="O54" t="s">
        <v>31</v>
      </c>
      <c r="P54" t="s">
        <v>32</v>
      </c>
      <c r="Q54"/>
      <c r="R54"/>
      <c r="S54"/>
      <c r="T54"/>
      <c r="U54"/>
      <c r="V54" s="152"/>
    </row>
    <row r="55" spans="1:22" s="1" customFormat="1">
      <c r="A55">
        <v>54</v>
      </c>
      <c r="B55" t="s">
        <v>186</v>
      </c>
      <c r="C55">
        <v>2024</v>
      </c>
      <c r="D55" t="s">
        <v>183</v>
      </c>
      <c r="E55" t="s">
        <v>187</v>
      </c>
      <c r="F55" t="s">
        <v>25</v>
      </c>
      <c r="G55" t="s">
        <v>26</v>
      </c>
      <c r="H55" t="s">
        <v>54</v>
      </c>
      <c r="I55" s="17">
        <v>360000000</v>
      </c>
      <c r="J55" t="s">
        <v>42</v>
      </c>
      <c r="K55" t="s">
        <v>29</v>
      </c>
      <c r="L55" t="s">
        <v>188</v>
      </c>
      <c r="M55" s="27">
        <v>45386</v>
      </c>
      <c r="N55" s="27">
        <v>45426</v>
      </c>
      <c r="O55" t="s">
        <v>51</v>
      </c>
      <c r="P55" t="s">
        <v>32</v>
      </c>
      <c r="Q55"/>
      <c r="R55"/>
      <c r="S55"/>
      <c r="T55"/>
      <c r="U55"/>
      <c r="V55" s="152"/>
    </row>
    <row r="56" spans="1:22" s="1" customFormat="1">
      <c r="A56">
        <v>55</v>
      </c>
      <c r="B56" t="s">
        <v>189</v>
      </c>
      <c r="C56">
        <v>2024</v>
      </c>
      <c r="D56" t="s">
        <v>183</v>
      </c>
      <c r="E56" t="s">
        <v>190</v>
      </c>
      <c r="F56" t="s">
        <v>48</v>
      </c>
      <c r="G56" t="s">
        <v>26</v>
      </c>
      <c r="H56" t="s">
        <v>54</v>
      </c>
      <c r="I56" s="17">
        <v>10771074000</v>
      </c>
      <c r="J56" t="s">
        <v>42</v>
      </c>
      <c r="K56" t="s">
        <v>43</v>
      </c>
      <c r="L56" t="s">
        <v>191</v>
      </c>
      <c r="M56" s="27">
        <v>45387</v>
      </c>
      <c r="N56" s="27">
        <v>45422</v>
      </c>
      <c r="O56" t="s">
        <v>45</v>
      </c>
      <c r="P56" t="s">
        <v>32</v>
      </c>
      <c r="Q56"/>
      <c r="R56"/>
      <c r="S56"/>
      <c r="T56"/>
      <c r="U56"/>
      <c r="V56" s="152"/>
    </row>
    <row r="57" spans="1:22" s="1" customFormat="1">
      <c r="A57">
        <v>56</v>
      </c>
      <c r="B57" t="s">
        <v>192</v>
      </c>
      <c r="C57">
        <v>2024</v>
      </c>
      <c r="D57" t="s">
        <v>183</v>
      </c>
      <c r="E57" t="s">
        <v>193</v>
      </c>
      <c r="F57" t="s">
        <v>25</v>
      </c>
      <c r="G57" t="s">
        <v>35</v>
      </c>
      <c r="H57" t="s">
        <v>84</v>
      </c>
      <c r="I57" s="17">
        <v>1660900901</v>
      </c>
      <c r="J57" t="s">
        <v>58</v>
      </c>
      <c r="K57" t="s">
        <v>67</v>
      </c>
      <c r="L57" t="s">
        <v>50</v>
      </c>
      <c r="M57" s="27">
        <v>45387</v>
      </c>
      <c r="N57" s="27">
        <v>45420</v>
      </c>
      <c r="O57" t="s">
        <v>51</v>
      </c>
      <c r="P57" t="s">
        <v>32</v>
      </c>
      <c r="Q57"/>
      <c r="R57"/>
      <c r="S57"/>
      <c r="T57"/>
      <c r="U57"/>
      <c r="V57" s="152"/>
    </row>
    <row r="58" spans="1:22" s="1" customFormat="1">
      <c r="A58">
        <v>57</v>
      </c>
      <c r="B58" t="s">
        <v>194</v>
      </c>
      <c r="C58">
        <v>2024</v>
      </c>
      <c r="D58" t="s">
        <v>183</v>
      </c>
      <c r="E58" t="s">
        <v>195</v>
      </c>
      <c r="F58" t="s">
        <v>25</v>
      </c>
      <c r="G58" t="s">
        <v>35</v>
      </c>
      <c r="H58" t="s">
        <v>84</v>
      </c>
      <c r="I58" s="17">
        <v>1598918919</v>
      </c>
      <c r="J58" t="s">
        <v>58</v>
      </c>
      <c r="K58" t="s">
        <v>29</v>
      </c>
      <c r="L58" t="s">
        <v>50</v>
      </c>
      <c r="M58" s="27">
        <v>45387</v>
      </c>
      <c r="N58" s="27">
        <v>45433</v>
      </c>
      <c r="O58" t="s">
        <v>31</v>
      </c>
      <c r="P58" t="s">
        <v>32</v>
      </c>
      <c r="Q58"/>
      <c r="R58"/>
      <c r="S58"/>
      <c r="T58"/>
      <c r="U58"/>
      <c r="V58" s="152"/>
    </row>
    <row r="59" spans="1:22" s="1" customFormat="1">
      <c r="A59">
        <v>58</v>
      </c>
      <c r="B59" t="s">
        <v>196</v>
      </c>
      <c r="C59">
        <v>2024</v>
      </c>
      <c r="D59" t="s">
        <v>183</v>
      </c>
      <c r="E59" t="s">
        <v>197</v>
      </c>
      <c r="F59" t="s">
        <v>48</v>
      </c>
      <c r="G59" t="s">
        <v>26</v>
      </c>
      <c r="H59" t="s">
        <v>87</v>
      </c>
      <c r="I59" s="17">
        <v>211680000</v>
      </c>
      <c r="J59" t="s">
        <v>28</v>
      </c>
      <c r="K59" t="s">
        <v>29</v>
      </c>
      <c r="L59" t="s">
        <v>139</v>
      </c>
      <c r="M59" s="27">
        <v>45398</v>
      </c>
      <c r="N59" s="27">
        <v>45428</v>
      </c>
      <c r="O59" t="s">
        <v>69</v>
      </c>
      <c r="P59" t="s">
        <v>32</v>
      </c>
      <c r="Q59"/>
      <c r="R59"/>
      <c r="S59"/>
      <c r="T59"/>
      <c r="U59"/>
      <c r="V59" s="152"/>
    </row>
    <row r="60" spans="1:22" s="1" customFormat="1">
      <c r="A60">
        <v>59</v>
      </c>
      <c r="B60" t="s">
        <v>198</v>
      </c>
      <c r="C60">
        <v>2024</v>
      </c>
      <c r="D60" t="s">
        <v>183</v>
      </c>
      <c r="E60" t="s">
        <v>199</v>
      </c>
      <c r="F60" t="s">
        <v>48</v>
      </c>
      <c r="G60" t="s">
        <v>35</v>
      </c>
      <c r="H60" t="s">
        <v>84</v>
      </c>
      <c r="I60" s="17">
        <v>189000000</v>
      </c>
      <c r="J60" t="s">
        <v>28</v>
      </c>
      <c r="K60" t="s">
        <v>29</v>
      </c>
      <c r="L60" t="s">
        <v>200</v>
      </c>
      <c r="M60" s="27">
        <v>45408</v>
      </c>
      <c r="N60" s="27">
        <v>45441</v>
      </c>
      <c r="O60" t="s">
        <v>69</v>
      </c>
      <c r="P60" t="s">
        <v>32</v>
      </c>
      <c r="Q60"/>
      <c r="R60"/>
      <c r="S60"/>
      <c r="T60"/>
      <c r="U60"/>
      <c r="V60" s="152"/>
    </row>
    <row r="61" spans="1:22" s="1" customFormat="1">
      <c r="A61">
        <v>60</v>
      </c>
      <c r="B61" t="s">
        <v>201</v>
      </c>
      <c r="C61">
        <v>2024</v>
      </c>
      <c r="D61" t="s">
        <v>183</v>
      </c>
      <c r="E61" t="s">
        <v>202</v>
      </c>
      <c r="F61" t="s">
        <v>48</v>
      </c>
      <c r="G61" t="s">
        <v>128</v>
      </c>
      <c r="H61" t="s">
        <v>203</v>
      </c>
      <c r="I61" s="17">
        <v>100260000</v>
      </c>
      <c r="J61" t="s">
        <v>28</v>
      </c>
      <c r="K61" t="s">
        <v>29</v>
      </c>
      <c r="L61" t="s">
        <v>200</v>
      </c>
      <c r="M61" s="27">
        <v>45408</v>
      </c>
      <c r="N61" s="27">
        <v>45441</v>
      </c>
      <c r="O61" t="s">
        <v>69</v>
      </c>
      <c r="P61" t="s">
        <v>32</v>
      </c>
      <c r="Q61"/>
      <c r="R61"/>
      <c r="S61"/>
      <c r="T61"/>
      <c r="U61"/>
      <c r="V61" s="152"/>
    </row>
    <row r="62" spans="1:22" s="1" customFormat="1">
      <c r="A62">
        <v>61</v>
      </c>
      <c r="B62" t="s">
        <v>204</v>
      </c>
      <c r="C62">
        <v>2024</v>
      </c>
      <c r="D62" t="s">
        <v>183</v>
      </c>
      <c r="E62" t="s">
        <v>205</v>
      </c>
      <c r="F62" t="s">
        <v>48</v>
      </c>
      <c r="G62" t="s">
        <v>26</v>
      </c>
      <c r="H62" t="s">
        <v>206</v>
      </c>
      <c r="I62" s="17">
        <v>24000000</v>
      </c>
      <c r="J62" t="s">
        <v>28</v>
      </c>
      <c r="K62" t="s">
        <v>29</v>
      </c>
      <c r="L62" t="s">
        <v>200</v>
      </c>
      <c r="M62" s="27">
        <v>45411</v>
      </c>
      <c r="N62" s="27">
        <v>45441</v>
      </c>
      <c r="O62" t="s">
        <v>31</v>
      </c>
      <c r="P62" t="s">
        <v>32</v>
      </c>
      <c r="Q62"/>
      <c r="R62"/>
      <c r="S62"/>
      <c r="T62"/>
      <c r="U62"/>
      <c r="V62" s="152"/>
    </row>
    <row r="63" spans="1:22" s="1" customFormat="1">
      <c r="A63">
        <v>62</v>
      </c>
      <c r="B63" t="s">
        <v>207</v>
      </c>
      <c r="C63">
        <v>2024</v>
      </c>
      <c r="D63" t="s">
        <v>183</v>
      </c>
      <c r="E63" t="s">
        <v>208</v>
      </c>
      <c r="F63" t="s">
        <v>48</v>
      </c>
      <c r="G63" t="s">
        <v>26</v>
      </c>
      <c r="H63" t="s">
        <v>206</v>
      </c>
      <c r="I63" s="17">
        <v>613580000</v>
      </c>
      <c r="J63" t="s">
        <v>42</v>
      </c>
      <c r="K63" t="s">
        <v>29</v>
      </c>
      <c r="L63" t="s">
        <v>116</v>
      </c>
      <c r="M63" s="27">
        <v>45412</v>
      </c>
      <c r="N63" s="27">
        <v>45441</v>
      </c>
      <c r="O63" t="s">
        <v>31</v>
      </c>
      <c r="P63" t="s">
        <v>32</v>
      </c>
      <c r="Q63"/>
      <c r="R63"/>
      <c r="S63"/>
      <c r="T63"/>
      <c r="U63"/>
      <c r="V63" s="152"/>
    </row>
    <row r="64" spans="1:22" s="1" customFormat="1">
      <c r="A64">
        <v>63</v>
      </c>
      <c r="B64" t="s">
        <v>209</v>
      </c>
      <c r="C64">
        <v>2024</v>
      </c>
      <c r="D64" t="s">
        <v>183</v>
      </c>
      <c r="E64" t="s">
        <v>210</v>
      </c>
      <c r="F64" t="s">
        <v>25</v>
      </c>
      <c r="G64" t="s">
        <v>26</v>
      </c>
      <c r="H64" t="s">
        <v>91</v>
      </c>
      <c r="I64" s="17">
        <v>91168000</v>
      </c>
      <c r="J64" t="s">
        <v>42</v>
      </c>
      <c r="K64" t="s">
        <v>29</v>
      </c>
      <c r="L64" t="s">
        <v>188</v>
      </c>
      <c r="M64" s="27">
        <v>45412</v>
      </c>
      <c r="N64" s="27">
        <v>45446</v>
      </c>
      <c r="O64" t="s">
        <v>31</v>
      </c>
      <c r="P64" t="s">
        <v>32</v>
      </c>
      <c r="Q64"/>
      <c r="R64"/>
      <c r="S64"/>
      <c r="T64"/>
      <c r="U64"/>
      <c r="V64" s="152"/>
    </row>
    <row r="65" spans="1:22" s="1" customFormat="1">
      <c r="A65">
        <v>64</v>
      </c>
      <c r="B65" t="s">
        <v>211</v>
      </c>
      <c r="C65">
        <v>2024</v>
      </c>
      <c r="D65" t="s">
        <v>212</v>
      </c>
      <c r="E65" t="s">
        <v>213</v>
      </c>
      <c r="F65" t="s">
        <v>48</v>
      </c>
      <c r="G65" t="s">
        <v>35</v>
      </c>
      <c r="H65" t="s">
        <v>123</v>
      </c>
      <c r="I65" s="17">
        <v>112000000</v>
      </c>
      <c r="J65" t="s">
        <v>28</v>
      </c>
      <c r="K65" t="s">
        <v>29</v>
      </c>
      <c r="L65" t="s">
        <v>200</v>
      </c>
      <c r="M65" s="27">
        <v>45414</v>
      </c>
      <c r="N65" s="27">
        <v>45447</v>
      </c>
      <c r="O65" t="s">
        <v>31</v>
      </c>
      <c r="P65" t="s">
        <v>214</v>
      </c>
      <c r="Q65"/>
      <c r="R65"/>
      <c r="S65"/>
      <c r="T65"/>
      <c r="U65" t="s">
        <v>215</v>
      </c>
      <c r="V65" s="152"/>
    </row>
    <row r="66" spans="1:22" s="1" customFormat="1">
      <c r="A66">
        <v>65</v>
      </c>
      <c r="B66" t="s">
        <v>216</v>
      </c>
      <c r="C66">
        <v>2024</v>
      </c>
      <c r="D66" t="s">
        <v>212</v>
      </c>
      <c r="E66" t="s">
        <v>217</v>
      </c>
      <c r="F66" t="s">
        <v>25</v>
      </c>
      <c r="G66" t="s">
        <v>35</v>
      </c>
      <c r="H66" t="s">
        <v>41</v>
      </c>
      <c r="I66" s="17">
        <v>263452000</v>
      </c>
      <c r="J66" t="s">
        <v>58</v>
      </c>
      <c r="K66" t="s">
        <v>29</v>
      </c>
      <c r="L66" t="s">
        <v>50</v>
      </c>
      <c r="M66" s="27">
        <v>45415</v>
      </c>
      <c r="N66" s="27">
        <v>45443</v>
      </c>
      <c r="O66" t="s">
        <v>31</v>
      </c>
      <c r="P66" t="s">
        <v>32</v>
      </c>
      <c r="Q66"/>
      <c r="R66"/>
      <c r="S66"/>
      <c r="T66"/>
      <c r="U66"/>
      <c r="V66" s="152"/>
    </row>
    <row r="67" spans="1:22" s="1" customFormat="1">
      <c r="A67">
        <v>66</v>
      </c>
      <c r="B67" t="s">
        <v>218</v>
      </c>
      <c r="C67">
        <v>2024</v>
      </c>
      <c r="D67" t="s">
        <v>212</v>
      </c>
      <c r="E67" t="s">
        <v>219</v>
      </c>
      <c r="F67" t="s">
        <v>48</v>
      </c>
      <c r="G67" t="s">
        <v>35</v>
      </c>
      <c r="H67" t="s">
        <v>41</v>
      </c>
      <c r="I67" s="17">
        <v>843600000</v>
      </c>
      <c r="J67" t="s">
        <v>58</v>
      </c>
      <c r="K67" t="s">
        <v>67</v>
      </c>
      <c r="L67" t="s">
        <v>106</v>
      </c>
      <c r="M67" s="27">
        <v>45418</v>
      </c>
      <c r="N67" s="27">
        <v>45448</v>
      </c>
      <c r="O67" t="s">
        <v>69</v>
      </c>
      <c r="P67" t="s">
        <v>32</v>
      </c>
      <c r="Q67"/>
      <c r="R67"/>
      <c r="S67"/>
      <c r="T67"/>
      <c r="U67"/>
      <c r="V67" s="152"/>
    </row>
    <row r="68" spans="1:22" s="1" customFormat="1">
      <c r="A68">
        <v>67</v>
      </c>
      <c r="B68" t="s">
        <v>220</v>
      </c>
      <c r="C68">
        <v>2024</v>
      </c>
      <c r="D68" t="s">
        <v>212</v>
      </c>
      <c r="E68" t="s">
        <v>221</v>
      </c>
      <c r="F68" t="s">
        <v>48</v>
      </c>
      <c r="G68" t="s">
        <v>26</v>
      </c>
      <c r="H68" t="s">
        <v>206</v>
      </c>
      <c r="I68" s="17">
        <v>361387200</v>
      </c>
      <c r="J68" t="s">
        <v>28</v>
      </c>
      <c r="K68" t="s">
        <v>29</v>
      </c>
      <c r="L68" t="s">
        <v>55</v>
      </c>
      <c r="M68" s="27">
        <v>45418</v>
      </c>
      <c r="N68" s="27">
        <v>45467</v>
      </c>
      <c r="O68" t="s">
        <v>69</v>
      </c>
      <c r="P68" t="s">
        <v>32</v>
      </c>
      <c r="Q68"/>
      <c r="R68"/>
      <c r="S68"/>
      <c r="T68"/>
      <c r="U68"/>
      <c r="V68" s="152"/>
    </row>
    <row r="69" spans="1:22" s="1" customFormat="1">
      <c r="A69">
        <v>68</v>
      </c>
      <c r="B69" t="s">
        <v>222</v>
      </c>
      <c r="C69">
        <v>2024</v>
      </c>
      <c r="D69" t="s">
        <v>212</v>
      </c>
      <c r="E69" t="s">
        <v>223</v>
      </c>
      <c r="F69" t="s">
        <v>48</v>
      </c>
      <c r="G69" t="s">
        <v>26</v>
      </c>
      <c r="H69" t="s">
        <v>206</v>
      </c>
      <c r="I69" s="17">
        <v>208460000</v>
      </c>
      <c r="J69" t="s">
        <v>28</v>
      </c>
      <c r="K69" t="s">
        <v>29</v>
      </c>
      <c r="L69" t="s">
        <v>55</v>
      </c>
      <c r="M69" s="27">
        <v>45418</v>
      </c>
      <c r="N69" s="27">
        <v>45448</v>
      </c>
      <c r="O69" t="s">
        <v>69</v>
      </c>
      <c r="P69" t="s">
        <v>32</v>
      </c>
      <c r="Q69"/>
      <c r="R69"/>
      <c r="S69"/>
      <c r="T69"/>
      <c r="U69"/>
      <c r="V69" s="152"/>
    </row>
    <row r="70" spans="1:22" s="1" customFormat="1">
      <c r="A70">
        <v>69</v>
      </c>
      <c r="B70" t="s">
        <v>224</v>
      </c>
      <c r="C70">
        <v>2024</v>
      </c>
      <c r="D70" t="s">
        <v>212</v>
      </c>
      <c r="E70" t="s">
        <v>225</v>
      </c>
      <c r="F70" t="s">
        <v>48</v>
      </c>
      <c r="G70" t="s">
        <v>26</v>
      </c>
      <c r="H70" t="s">
        <v>206</v>
      </c>
      <c r="I70" s="17">
        <v>208460000</v>
      </c>
      <c r="J70" t="s">
        <v>28</v>
      </c>
      <c r="K70" t="s">
        <v>29</v>
      </c>
      <c r="L70" t="s">
        <v>55</v>
      </c>
      <c r="M70" s="27">
        <v>45418</v>
      </c>
      <c r="N70" s="27">
        <v>45448</v>
      </c>
      <c r="O70" t="s">
        <v>69</v>
      </c>
      <c r="P70" t="s">
        <v>32</v>
      </c>
      <c r="Q70"/>
      <c r="R70"/>
      <c r="S70"/>
      <c r="T70"/>
      <c r="U70"/>
      <c r="V70" s="152"/>
    </row>
    <row r="71" spans="1:22" s="1" customFormat="1">
      <c r="A71">
        <v>70</v>
      </c>
      <c r="B71" t="s">
        <v>226</v>
      </c>
      <c r="C71">
        <v>2024</v>
      </c>
      <c r="D71" t="s">
        <v>212</v>
      </c>
      <c r="E71" t="s">
        <v>227</v>
      </c>
      <c r="F71" t="s">
        <v>25</v>
      </c>
      <c r="G71" t="s">
        <v>35</v>
      </c>
      <c r="H71" t="s">
        <v>54</v>
      </c>
      <c r="I71" s="17">
        <v>2354774775</v>
      </c>
      <c r="J71" t="s">
        <v>58</v>
      </c>
      <c r="K71" t="s">
        <v>67</v>
      </c>
      <c r="L71" t="s">
        <v>228</v>
      </c>
      <c r="M71" s="27">
        <v>45420</v>
      </c>
      <c r="N71" s="27">
        <v>45523</v>
      </c>
      <c r="O71" t="s">
        <v>31</v>
      </c>
      <c r="P71" t="s">
        <v>32</v>
      </c>
      <c r="Q71"/>
      <c r="R71"/>
      <c r="S71"/>
      <c r="T71"/>
      <c r="U71"/>
      <c r="V71" s="152"/>
    </row>
    <row r="72" spans="1:22" s="1" customFormat="1">
      <c r="A72">
        <v>71</v>
      </c>
      <c r="B72" t="s">
        <v>229</v>
      </c>
      <c r="C72">
        <v>2024</v>
      </c>
      <c r="D72" t="s">
        <v>212</v>
      </c>
      <c r="E72" t="s">
        <v>230</v>
      </c>
      <c r="F72" t="s">
        <v>25</v>
      </c>
      <c r="G72" t="s">
        <v>35</v>
      </c>
      <c r="H72" t="s">
        <v>155</v>
      </c>
      <c r="I72" s="17">
        <v>37602672060</v>
      </c>
      <c r="J72" t="s">
        <v>37</v>
      </c>
      <c r="K72" t="s">
        <v>67</v>
      </c>
      <c r="L72" t="s">
        <v>103</v>
      </c>
      <c r="M72" s="27">
        <v>45422</v>
      </c>
      <c r="N72" s="27">
        <v>45469</v>
      </c>
      <c r="O72" t="s">
        <v>45</v>
      </c>
      <c r="P72" t="s">
        <v>32</v>
      </c>
      <c r="Q72"/>
      <c r="R72"/>
      <c r="S72"/>
      <c r="T72"/>
      <c r="U72"/>
      <c r="V72" s="152"/>
    </row>
    <row r="73" spans="1:22" s="1" customFormat="1">
      <c r="A73">
        <v>72</v>
      </c>
      <c r="B73" t="s">
        <v>231</v>
      </c>
      <c r="C73">
        <v>2024</v>
      </c>
      <c r="D73" t="s">
        <v>212</v>
      </c>
      <c r="E73" t="s">
        <v>232</v>
      </c>
      <c r="F73" t="s">
        <v>25</v>
      </c>
      <c r="G73" t="s">
        <v>35</v>
      </c>
      <c r="H73" t="s">
        <v>41</v>
      </c>
      <c r="I73" s="17">
        <v>6150061800</v>
      </c>
      <c r="J73" t="s">
        <v>58</v>
      </c>
      <c r="K73" t="s">
        <v>67</v>
      </c>
      <c r="L73" t="s">
        <v>109</v>
      </c>
      <c r="M73" s="27">
        <v>45425</v>
      </c>
      <c r="N73" s="27">
        <v>45457</v>
      </c>
      <c r="O73" t="s">
        <v>31</v>
      </c>
      <c r="P73" t="s">
        <v>32</v>
      </c>
      <c r="Q73"/>
      <c r="R73"/>
      <c r="S73"/>
      <c r="T73"/>
      <c r="U73"/>
      <c r="V73" s="152"/>
    </row>
    <row r="74" spans="1:22" s="1" customFormat="1">
      <c r="A74">
        <v>73</v>
      </c>
      <c r="B74" t="s">
        <v>233</v>
      </c>
      <c r="C74">
        <v>2024</v>
      </c>
      <c r="D74" t="s">
        <v>212</v>
      </c>
      <c r="E74" t="s">
        <v>234</v>
      </c>
      <c r="F74" t="s">
        <v>48</v>
      </c>
      <c r="G74" t="s">
        <v>26</v>
      </c>
      <c r="H74" t="s">
        <v>87</v>
      </c>
      <c r="I74" s="17">
        <v>29000000</v>
      </c>
      <c r="J74" t="s">
        <v>28</v>
      </c>
      <c r="K74" t="s">
        <v>29</v>
      </c>
      <c r="L74" t="s">
        <v>235</v>
      </c>
      <c r="M74" s="27">
        <v>45425</v>
      </c>
      <c r="N74" s="27">
        <v>45443</v>
      </c>
      <c r="O74" t="s">
        <v>69</v>
      </c>
      <c r="P74" t="s">
        <v>32</v>
      </c>
      <c r="Q74"/>
      <c r="R74"/>
      <c r="S74"/>
      <c r="T74"/>
      <c r="U74"/>
      <c r="V74" s="152"/>
    </row>
    <row r="75" spans="1:22" s="1" customFormat="1">
      <c r="A75">
        <v>74</v>
      </c>
      <c r="B75" t="s">
        <v>236</v>
      </c>
      <c r="C75">
        <v>2024</v>
      </c>
      <c r="D75" t="s">
        <v>212</v>
      </c>
      <c r="E75" t="s">
        <v>237</v>
      </c>
      <c r="F75" t="s">
        <v>25</v>
      </c>
      <c r="G75" t="s">
        <v>26</v>
      </c>
      <c r="H75" t="s">
        <v>112</v>
      </c>
      <c r="I75" s="17">
        <v>1480840944</v>
      </c>
      <c r="J75" t="s">
        <v>58</v>
      </c>
      <c r="K75" t="s">
        <v>29</v>
      </c>
      <c r="L75" t="s">
        <v>228</v>
      </c>
      <c r="M75" s="27">
        <v>45426</v>
      </c>
      <c r="N75" s="27">
        <v>45447</v>
      </c>
      <c r="O75" t="s">
        <v>45</v>
      </c>
      <c r="P75" t="s">
        <v>32</v>
      </c>
      <c r="Q75"/>
      <c r="R75"/>
      <c r="S75"/>
      <c r="T75"/>
      <c r="U75"/>
      <c r="V75" s="152"/>
    </row>
    <row r="76" spans="1:22" s="1" customFormat="1">
      <c r="A76">
        <v>75</v>
      </c>
      <c r="B76" t="s">
        <v>238</v>
      </c>
      <c r="C76">
        <v>2024</v>
      </c>
      <c r="D76" t="s">
        <v>212</v>
      </c>
      <c r="E76" t="s">
        <v>239</v>
      </c>
      <c r="F76" t="s">
        <v>25</v>
      </c>
      <c r="G76" t="s">
        <v>26</v>
      </c>
      <c r="H76" t="s">
        <v>91</v>
      </c>
      <c r="I76" s="17">
        <v>9277618000</v>
      </c>
      <c r="J76" t="s">
        <v>28</v>
      </c>
      <c r="K76" t="s">
        <v>29</v>
      </c>
      <c r="L76" t="s">
        <v>142</v>
      </c>
      <c r="M76" s="27">
        <v>45430</v>
      </c>
      <c r="N76" s="27">
        <v>45446</v>
      </c>
      <c r="O76" t="s">
        <v>51</v>
      </c>
      <c r="P76" t="s">
        <v>32</v>
      </c>
      <c r="Q76"/>
      <c r="R76"/>
      <c r="S76"/>
      <c r="T76"/>
      <c r="U76"/>
      <c r="V76" s="152"/>
    </row>
    <row r="77" spans="1:22" s="1" customFormat="1">
      <c r="A77">
        <v>76</v>
      </c>
      <c r="B77" t="s">
        <v>240</v>
      </c>
      <c r="C77">
        <v>2024</v>
      </c>
      <c r="D77" t="s">
        <v>212</v>
      </c>
      <c r="E77" t="s">
        <v>241</v>
      </c>
      <c r="F77" t="s">
        <v>48</v>
      </c>
      <c r="G77" t="s">
        <v>128</v>
      </c>
      <c r="H77" t="s">
        <v>203</v>
      </c>
      <c r="I77" s="17">
        <v>21000000</v>
      </c>
      <c r="J77" t="s">
        <v>28</v>
      </c>
      <c r="K77" t="s">
        <v>29</v>
      </c>
      <c r="L77" t="s">
        <v>55</v>
      </c>
      <c r="M77" s="27">
        <v>45432</v>
      </c>
      <c r="N77" s="27">
        <v>45462</v>
      </c>
      <c r="O77" t="s">
        <v>69</v>
      </c>
      <c r="P77" t="s">
        <v>32</v>
      </c>
      <c r="Q77"/>
      <c r="R77"/>
      <c r="S77"/>
      <c r="T77"/>
      <c r="U77"/>
      <c r="V77" s="152"/>
    </row>
    <row r="78" spans="1:22" s="1" customFormat="1">
      <c r="A78">
        <v>77</v>
      </c>
      <c r="B78" t="s">
        <v>242</v>
      </c>
      <c r="C78">
        <v>2024</v>
      </c>
      <c r="D78" t="s">
        <v>212</v>
      </c>
      <c r="E78" t="s">
        <v>243</v>
      </c>
      <c r="F78" t="s">
        <v>25</v>
      </c>
      <c r="G78" t="s">
        <v>35</v>
      </c>
      <c r="H78" t="s">
        <v>36</v>
      </c>
      <c r="I78" s="17">
        <v>33780060456</v>
      </c>
      <c r="J78" t="s">
        <v>37</v>
      </c>
      <c r="K78" t="s">
        <v>67</v>
      </c>
      <c r="L78" t="s">
        <v>244</v>
      </c>
      <c r="M78" s="27">
        <v>45433</v>
      </c>
      <c r="N78" s="27">
        <v>45531</v>
      </c>
      <c r="O78" t="s">
        <v>51</v>
      </c>
      <c r="P78" t="s">
        <v>32</v>
      </c>
      <c r="Q78"/>
      <c r="R78"/>
      <c r="S78"/>
      <c r="T78"/>
      <c r="U78"/>
      <c r="V78" s="152"/>
    </row>
    <row r="79" spans="1:22" s="1" customFormat="1">
      <c r="A79">
        <v>78</v>
      </c>
      <c r="B79" t="s">
        <v>245</v>
      </c>
      <c r="C79">
        <v>2024</v>
      </c>
      <c r="D79" t="s">
        <v>212</v>
      </c>
      <c r="E79" t="s">
        <v>246</v>
      </c>
      <c r="F79" t="s">
        <v>25</v>
      </c>
      <c r="G79" t="s">
        <v>35</v>
      </c>
      <c r="H79" t="s">
        <v>247</v>
      </c>
      <c r="I79" s="17">
        <v>5158800000</v>
      </c>
      <c r="J79" t="s">
        <v>58</v>
      </c>
      <c r="K79" t="s">
        <v>67</v>
      </c>
      <c r="L79" t="s">
        <v>88</v>
      </c>
      <c r="M79" s="27">
        <v>45437</v>
      </c>
      <c r="N79" s="27">
        <v>45523</v>
      </c>
      <c r="O79" t="s">
        <v>69</v>
      </c>
      <c r="P79" t="s">
        <v>32</v>
      </c>
      <c r="Q79"/>
      <c r="R79"/>
      <c r="S79"/>
      <c r="T79"/>
      <c r="U79"/>
      <c r="V79" s="152"/>
    </row>
    <row r="80" spans="1:22" s="1" customFormat="1">
      <c r="A80">
        <v>79</v>
      </c>
      <c r="B80" t="s">
        <v>248</v>
      </c>
      <c r="C80">
        <v>2024</v>
      </c>
      <c r="D80" t="s">
        <v>212</v>
      </c>
      <c r="E80" t="s">
        <v>249</v>
      </c>
      <c r="F80" t="s">
        <v>25</v>
      </c>
      <c r="G80" t="s">
        <v>35</v>
      </c>
      <c r="H80" t="s">
        <v>41</v>
      </c>
      <c r="I80" s="17">
        <v>2937284800</v>
      </c>
      <c r="J80" t="s">
        <v>42</v>
      </c>
      <c r="K80" t="s">
        <v>67</v>
      </c>
      <c r="L80" t="s">
        <v>191</v>
      </c>
      <c r="M80" s="27">
        <v>45437</v>
      </c>
      <c r="N80" s="27">
        <v>45504</v>
      </c>
      <c r="O80" t="s">
        <v>31</v>
      </c>
      <c r="P80" t="s">
        <v>32</v>
      </c>
      <c r="Q80"/>
      <c r="R80"/>
      <c r="S80"/>
      <c r="T80"/>
      <c r="U80"/>
      <c r="V80" s="152"/>
    </row>
    <row r="81" spans="1:22" s="1" customFormat="1">
      <c r="A81">
        <v>80</v>
      </c>
      <c r="B81" t="s">
        <v>250</v>
      </c>
      <c r="C81">
        <v>2024</v>
      </c>
      <c r="D81" t="s">
        <v>212</v>
      </c>
      <c r="E81" t="s">
        <v>251</v>
      </c>
      <c r="F81" t="s">
        <v>25</v>
      </c>
      <c r="G81" t="s">
        <v>128</v>
      </c>
      <c r="H81" t="s">
        <v>252</v>
      </c>
      <c r="I81" s="17">
        <v>10009797939</v>
      </c>
      <c r="J81" t="s">
        <v>37</v>
      </c>
      <c r="K81" t="s">
        <v>29</v>
      </c>
      <c r="L81" t="s">
        <v>253</v>
      </c>
      <c r="M81" s="27">
        <v>45440</v>
      </c>
      <c r="N81" s="27">
        <v>45464</v>
      </c>
      <c r="O81" t="s">
        <v>51</v>
      </c>
      <c r="P81" t="s">
        <v>32</v>
      </c>
      <c r="Q81"/>
      <c r="R81"/>
      <c r="S81"/>
      <c r="T81"/>
      <c r="U81"/>
      <c r="V81" s="152"/>
    </row>
    <row r="82" spans="1:22" s="1" customFormat="1">
      <c r="A82">
        <v>81</v>
      </c>
      <c r="B82" t="s">
        <v>254</v>
      </c>
      <c r="C82">
        <v>2024</v>
      </c>
      <c r="D82" t="s">
        <v>212</v>
      </c>
      <c r="E82" t="s">
        <v>255</v>
      </c>
      <c r="F82" t="s">
        <v>25</v>
      </c>
      <c r="G82" t="s">
        <v>26</v>
      </c>
      <c r="H82" t="s">
        <v>27</v>
      </c>
      <c r="I82" s="17">
        <v>4639886400</v>
      </c>
      <c r="J82" t="s">
        <v>58</v>
      </c>
      <c r="K82" t="s">
        <v>67</v>
      </c>
      <c r="L82" t="s">
        <v>106</v>
      </c>
      <c r="M82" s="27">
        <v>45440</v>
      </c>
      <c r="N82" s="27">
        <v>45478</v>
      </c>
      <c r="O82" t="s">
        <v>51</v>
      </c>
      <c r="P82" t="s">
        <v>32</v>
      </c>
      <c r="Q82"/>
      <c r="R82"/>
      <c r="S82"/>
      <c r="T82"/>
      <c r="U82"/>
      <c r="V82" s="152"/>
    </row>
    <row r="83" spans="1:22" s="1" customFormat="1">
      <c r="A83">
        <v>82</v>
      </c>
      <c r="B83" t="s">
        <v>256</v>
      </c>
      <c r="C83">
        <v>2024</v>
      </c>
      <c r="D83" t="s">
        <v>212</v>
      </c>
      <c r="E83" t="s">
        <v>257</v>
      </c>
      <c r="F83" t="s">
        <v>48</v>
      </c>
      <c r="G83" t="s">
        <v>26</v>
      </c>
      <c r="H83" t="s">
        <v>91</v>
      </c>
      <c r="I83" s="17">
        <v>445378254</v>
      </c>
      <c r="J83" t="s">
        <v>58</v>
      </c>
      <c r="K83" t="s">
        <v>67</v>
      </c>
      <c r="L83" t="s">
        <v>106</v>
      </c>
      <c r="M83" s="27">
        <v>45443</v>
      </c>
      <c r="N83" s="27">
        <v>45489</v>
      </c>
      <c r="O83" t="s">
        <v>69</v>
      </c>
      <c r="P83" t="s">
        <v>32</v>
      </c>
      <c r="Q83"/>
      <c r="R83"/>
      <c r="S83"/>
      <c r="T83"/>
      <c r="U83"/>
      <c r="V83" s="152"/>
    </row>
    <row r="84" spans="1:22" s="1" customFormat="1">
      <c r="A84">
        <v>83</v>
      </c>
      <c r="B84" t="s">
        <v>258</v>
      </c>
      <c r="C84">
        <v>2024</v>
      </c>
      <c r="D84" t="s">
        <v>212</v>
      </c>
      <c r="E84" t="s">
        <v>259</v>
      </c>
      <c r="F84" t="s">
        <v>48</v>
      </c>
      <c r="G84" t="s">
        <v>128</v>
      </c>
      <c r="H84" t="s">
        <v>203</v>
      </c>
      <c r="I84" s="17">
        <v>98960000</v>
      </c>
      <c r="J84" t="s">
        <v>58</v>
      </c>
      <c r="K84" t="s">
        <v>29</v>
      </c>
      <c r="L84" t="s">
        <v>68</v>
      </c>
      <c r="M84" s="27">
        <v>45443</v>
      </c>
      <c r="N84" s="27">
        <v>45471</v>
      </c>
      <c r="O84" t="s">
        <v>69</v>
      </c>
      <c r="P84" t="s">
        <v>32</v>
      </c>
      <c r="Q84"/>
      <c r="R84"/>
      <c r="S84"/>
      <c r="T84"/>
      <c r="U84"/>
      <c r="V84" s="152"/>
    </row>
    <row r="85" spans="1:22" s="1" customFormat="1">
      <c r="A85">
        <v>84</v>
      </c>
      <c r="B85" t="s">
        <v>260</v>
      </c>
      <c r="C85">
        <v>2024</v>
      </c>
      <c r="D85" t="s">
        <v>261</v>
      </c>
      <c r="E85" t="s">
        <v>262</v>
      </c>
      <c r="F85" t="s">
        <v>25</v>
      </c>
      <c r="G85" t="s">
        <v>26</v>
      </c>
      <c r="H85" t="s">
        <v>91</v>
      </c>
      <c r="I85" s="17">
        <v>489189189</v>
      </c>
      <c r="J85" t="s">
        <v>42</v>
      </c>
      <c r="K85" t="s">
        <v>29</v>
      </c>
      <c r="L85" t="s">
        <v>188</v>
      </c>
      <c r="M85" s="27">
        <v>45447</v>
      </c>
      <c r="N85" s="27">
        <v>45481</v>
      </c>
      <c r="O85" t="s">
        <v>31</v>
      </c>
      <c r="P85" t="s">
        <v>32</v>
      </c>
      <c r="Q85"/>
      <c r="R85"/>
      <c r="S85"/>
      <c r="T85"/>
      <c r="U85"/>
      <c r="V85" s="152"/>
    </row>
    <row r="86" spans="1:22" s="1" customFormat="1">
      <c r="A86">
        <v>85</v>
      </c>
      <c r="B86" t="s">
        <v>263</v>
      </c>
      <c r="C86">
        <v>2024</v>
      </c>
      <c r="D86" t="s">
        <v>261</v>
      </c>
      <c r="E86" t="s">
        <v>264</v>
      </c>
      <c r="F86" t="s">
        <v>48</v>
      </c>
      <c r="G86" t="s">
        <v>35</v>
      </c>
      <c r="H86" t="s">
        <v>49</v>
      </c>
      <c r="I86" s="17">
        <v>96000000</v>
      </c>
      <c r="J86" t="s">
        <v>58</v>
      </c>
      <c r="K86" t="s">
        <v>29</v>
      </c>
      <c r="L86" t="s">
        <v>50</v>
      </c>
      <c r="M86" s="27">
        <v>45449</v>
      </c>
      <c r="N86" s="27">
        <v>45534</v>
      </c>
      <c r="O86" t="s">
        <v>69</v>
      </c>
      <c r="P86" t="s">
        <v>32</v>
      </c>
      <c r="Q86"/>
      <c r="R86"/>
      <c r="S86"/>
      <c r="T86"/>
      <c r="U86"/>
      <c r="V86" s="152"/>
    </row>
    <row r="87" spans="1:22" s="1" customFormat="1">
      <c r="A87">
        <v>86</v>
      </c>
      <c r="B87" t="s">
        <v>265</v>
      </c>
      <c r="C87">
        <v>2024</v>
      </c>
      <c r="D87" t="s">
        <v>261</v>
      </c>
      <c r="E87" t="s">
        <v>266</v>
      </c>
      <c r="F87" t="s">
        <v>48</v>
      </c>
      <c r="G87" t="s">
        <v>35</v>
      </c>
      <c r="H87" t="s">
        <v>84</v>
      </c>
      <c r="I87" s="17">
        <v>271968000</v>
      </c>
      <c r="J87" t="s">
        <v>28</v>
      </c>
      <c r="K87" t="s">
        <v>29</v>
      </c>
      <c r="L87" t="s">
        <v>235</v>
      </c>
      <c r="M87" s="27">
        <v>45454</v>
      </c>
      <c r="N87" s="27">
        <v>45484</v>
      </c>
      <c r="O87" t="s">
        <v>69</v>
      </c>
      <c r="P87" t="s">
        <v>32</v>
      </c>
      <c r="Q87"/>
      <c r="R87"/>
      <c r="S87"/>
      <c r="T87"/>
      <c r="U87"/>
      <c r="V87" s="152"/>
    </row>
    <row r="88" spans="1:22" s="1" customFormat="1">
      <c r="A88">
        <v>87</v>
      </c>
      <c r="B88" t="s">
        <v>267</v>
      </c>
      <c r="C88">
        <v>2024</v>
      </c>
      <c r="D88" t="s">
        <v>261</v>
      </c>
      <c r="E88" t="s">
        <v>268</v>
      </c>
      <c r="F88" t="s">
        <v>48</v>
      </c>
      <c r="G88" t="s">
        <v>35</v>
      </c>
      <c r="H88" t="s">
        <v>84</v>
      </c>
      <c r="I88" s="17">
        <v>95000000</v>
      </c>
      <c r="J88" t="s">
        <v>42</v>
      </c>
      <c r="K88" t="s">
        <v>29</v>
      </c>
      <c r="L88" t="s">
        <v>44</v>
      </c>
      <c r="M88" s="27">
        <v>45454</v>
      </c>
      <c r="N88" s="27">
        <v>45474</v>
      </c>
      <c r="O88" t="s">
        <v>51</v>
      </c>
      <c r="P88" t="s">
        <v>32</v>
      </c>
      <c r="Q88"/>
      <c r="R88"/>
      <c r="S88"/>
      <c r="T88"/>
      <c r="U88"/>
      <c r="V88" s="152"/>
    </row>
    <row r="89" spans="1:22" s="1" customFormat="1">
      <c r="A89">
        <v>88</v>
      </c>
      <c r="B89" t="s">
        <v>269</v>
      </c>
      <c r="C89">
        <v>2024</v>
      </c>
      <c r="D89" t="s">
        <v>261</v>
      </c>
      <c r="E89" t="s">
        <v>270</v>
      </c>
      <c r="F89" t="s">
        <v>25</v>
      </c>
      <c r="G89" t="s">
        <v>35</v>
      </c>
      <c r="H89" t="s">
        <v>84</v>
      </c>
      <c r="I89" s="17">
        <v>67567570</v>
      </c>
      <c r="J89" t="s">
        <v>58</v>
      </c>
      <c r="K89" t="s">
        <v>29</v>
      </c>
      <c r="L89" t="s">
        <v>50</v>
      </c>
      <c r="M89" s="27">
        <v>45454</v>
      </c>
      <c r="N89" s="27">
        <v>45484</v>
      </c>
      <c r="O89" t="s">
        <v>31</v>
      </c>
      <c r="P89" t="s">
        <v>32</v>
      </c>
      <c r="Q89"/>
      <c r="R89"/>
      <c r="S89"/>
      <c r="T89"/>
      <c r="U89"/>
      <c r="V89" s="152"/>
    </row>
    <row r="90" spans="1:22" s="1" customFormat="1">
      <c r="A90">
        <v>89</v>
      </c>
      <c r="B90" t="s">
        <v>271</v>
      </c>
      <c r="C90">
        <v>2024</v>
      </c>
      <c r="D90" t="s">
        <v>261</v>
      </c>
      <c r="E90" t="s">
        <v>272</v>
      </c>
      <c r="F90" t="s">
        <v>25</v>
      </c>
      <c r="G90" t="s">
        <v>35</v>
      </c>
      <c r="H90" t="s">
        <v>84</v>
      </c>
      <c r="I90" s="17">
        <v>291600000</v>
      </c>
      <c r="J90" t="s">
        <v>42</v>
      </c>
      <c r="K90" t="s">
        <v>29</v>
      </c>
      <c r="L90" t="s">
        <v>191</v>
      </c>
      <c r="M90" s="27">
        <v>45463</v>
      </c>
      <c r="N90" s="27">
        <v>45485</v>
      </c>
      <c r="O90" t="s">
        <v>31</v>
      </c>
      <c r="P90" t="s">
        <v>32</v>
      </c>
      <c r="Q90"/>
      <c r="R90"/>
      <c r="S90"/>
      <c r="T90"/>
      <c r="U90"/>
      <c r="V90" s="152"/>
    </row>
    <row r="91" spans="1:22" s="1" customFormat="1">
      <c r="A91">
        <v>90</v>
      </c>
      <c r="B91" t="s">
        <v>273</v>
      </c>
      <c r="C91">
        <v>2024</v>
      </c>
      <c r="D91" t="s">
        <v>274</v>
      </c>
      <c r="E91" t="s">
        <v>275</v>
      </c>
      <c r="F91" t="s">
        <v>48</v>
      </c>
      <c r="G91" t="s">
        <v>26</v>
      </c>
      <c r="H91" t="s">
        <v>87</v>
      </c>
      <c r="I91" s="17">
        <v>128000000</v>
      </c>
      <c r="J91" t="s">
        <v>42</v>
      </c>
      <c r="K91" t="s">
        <v>29</v>
      </c>
      <c r="L91" t="s">
        <v>191</v>
      </c>
      <c r="M91" s="27">
        <v>45475</v>
      </c>
      <c r="N91" s="27">
        <v>45502</v>
      </c>
      <c r="O91" t="s">
        <v>51</v>
      </c>
      <c r="P91" t="s">
        <v>32</v>
      </c>
      <c r="Q91"/>
      <c r="R91"/>
      <c r="S91"/>
      <c r="T91"/>
      <c r="U91"/>
      <c r="V91" s="152"/>
    </row>
    <row r="92" spans="1:22" s="1" customFormat="1">
      <c r="A92">
        <v>91</v>
      </c>
      <c r="B92" t="s">
        <v>276</v>
      </c>
      <c r="C92">
        <v>2024</v>
      </c>
      <c r="D92" t="s">
        <v>274</v>
      </c>
      <c r="E92" t="s">
        <v>277</v>
      </c>
      <c r="F92" t="s">
        <v>25</v>
      </c>
      <c r="G92" t="s">
        <v>26</v>
      </c>
      <c r="H92" t="s">
        <v>27</v>
      </c>
      <c r="I92" s="17">
        <v>1364893632</v>
      </c>
      <c r="J92" t="s">
        <v>58</v>
      </c>
      <c r="K92" t="s">
        <v>67</v>
      </c>
      <c r="L92" t="s">
        <v>116</v>
      </c>
      <c r="M92" s="27">
        <v>45478</v>
      </c>
      <c r="N92" s="27">
        <v>45544</v>
      </c>
      <c r="O92" t="s">
        <v>51</v>
      </c>
      <c r="P92" t="s">
        <v>32</v>
      </c>
      <c r="Q92"/>
      <c r="R92"/>
      <c r="S92"/>
      <c r="T92"/>
      <c r="U92"/>
      <c r="V92" s="152"/>
    </row>
    <row r="93" spans="1:22" s="1" customFormat="1">
      <c r="A93">
        <v>92</v>
      </c>
      <c r="B93" t="s">
        <v>278</v>
      </c>
      <c r="C93">
        <v>2024</v>
      </c>
      <c r="D93" t="s">
        <v>274</v>
      </c>
      <c r="E93" t="s">
        <v>279</v>
      </c>
      <c r="F93" t="s">
        <v>25</v>
      </c>
      <c r="G93" t="s">
        <v>35</v>
      </c>
      <c r="H93" t="s">
        <v>179</v>
      </c>
      <c r="I93" s="17">
        <v>280000000</v>
      </c>
      <c r="J93" t="s">
        <v>28</v>
      </c>
      <c r="K93" t="s">
        <v>67</v>
      </c>
      <c r="L93" t="s">
        <v>280</v>
      </c>
      <c r="M93" s="27">
        <v>45483</v>
      </c>
      <c r="N93" s="27">
        <v>45520</v>
      </c>
      <c r="O93" t="s">
        <v>51</v>
      </c>
      <c r="P93" t="s">
        <v>32</v>
      </c>
      <c r="Q93"/>
      <c r="R93"/>
      <c r="S93"/>
      <c r="T93"/>
      <c r="U93"/>
      <c r="V93" s="152"/>
    </row>
    <row r="94" spans="1:22" s="1" customFormat="1">
      <c r="A94">
        <v>93</v>
      </c>
      <c r="B94" t="s">
        <v>281</v>
      </c>
      <c r="C94">
        <v>2024</v>
      </c>
      <c r="D94" t="s">
        <v>274</v>
      </c>
      <c r="E94" t="s">
        <v>282</v>
      </c>
      <c r="F94" t="s">
        <v>25</v>
      </c>
      <c r="G94" t="s">
        <v>26</v>
      </c>
      <c r="H94" t="s">
        <v>112</v>
      </c>
      <c r="I94" s="17">
        <v>35130000</v>
      </c>
      <c r="J94" t="s">
        <v>28</v>
      </c>
      <c r="K94" t="s">
        <v>29</v>
      </c>
      <c r="L94" t="s">
        <v>200</v>
      </c>
      <c r="M94" s="27">
        <v>45485</v>
      </c>
      <c r="N94" s="27">
        <v>45527</v>
      </c>
      <c r="O94" t="s">
        <v>31</v>
      </c>
      <c r="P94" t="s">
        <v>32</v>
      </c>
      <c r="Q94"/>
      <c r="R94"/>
      <c r="S94"/>
      <c r="T94"/>
      <c r="U94"/>
      <c r="V94" s="152"/>
    </row>
    <row r="95" spans="1:22" s="1" customFormat="1">
      <c r="A95">
        <v>94</v>
      </c>
      <c r="B95" t="s">
        <v>283</v>
      </c>
      <c r="C95">
        <v>2024</v>
      </c>
      <c r="D95" t="s">
        <v>274</v>
      </c>
      <c r="E95" t="s">
        <v>284</v>
      </c>
      <c r="F95" t="s">
        <v>25</v>
      </c>
      <c r="G95" t="s">
        <v>35</v>
      </c>
      <c r="H95" t="s">
        <v>49</v>
      </c>
      <c r="I95" s="17">
        <v>95000000</v>
      </c>
      <c r="J95" t="s">
        <v>28</v>
      </c>
      <c r="K95" t="s">
        <v>29</v>
      </c>
      <c r="L95" t="s">
        <v>142</v>
      </c>
      <c r="M95" s="27">
        <v>45488</v>
      </c>
      <c r="N95" s="27">
        <v>45530</v>
      </c>
      <c r="O95" t="s">
        <v>51</v>
      </c>
      <c r="P95" t="s">
        <v>32</v>
      </c>
      <c r="Q95"/>
      <c r="R95"/>
      <c r="S95"/>
      <c r="T95"/>
      <c r="U95"/>
      <c r="V95" s="152"/>
    </row>
    <row r="96" spans="1:22" s="1" customFormat="1">
      <c r="A96">
        <v>95</v>
      </c>
      <c r="B96" t="s">
        <v>285</v>
      </c>
      <c r="C96">
        <v>2024</v>
      </c>
      <c r="D96" t="s">
        <v>274</v>
      </c>
      <c r="E96" t="s">
        <v>286</v>
      </c>
      <c r="F96" t="s">
        <v>48</v>
      </c>
      <c r="G96" t="s">
        <v>128</v>
      </c>
      <c r="H96" t="s">
        <v>203</v>
      </c>
      <c r="I96" s="17">
        <v>347120000</v>
      </c>
      <c r="J96" t="s">
        <v>28</v>
      </c>
      <c r="K96" t="s">
        <v>29</v>
      </c>
      <c r="L96" t="s">
        <v>200</v>
      </c>
      <c r="M96" s="27">
        <v>45490</v>
      </c>
      <c r="N96" s="27">
        <v>45520</v>
      </c>
      <c r="O96" t="s">
        <v>69</v>
      </c>
      <c r="P96" t="s">
        <v>214</v>
      </c>
      <c r="Q96"/>
      <c r="R96"/>
      <c r="S96"/>
      <c r="T96"/>
      <c r="U96" t="s">
        <v>287</v>
      </c>
      <c r="V96" s="152"/>
    </row>
    <row r="97" spans="1:22" s="1" customFormat="1">
      <c r="A97">
        <v>96</v>
      </c>
      <c r="B97" t="s">
        <v>288</v>
      </c>
      <c r="C97">
        <v>2024</v>
      </c>
      <c r="D97" t="s">
        <v>274</v>
      </c>
      <c r="E97" t="s">
        <v>289</v>
      </c>
      <c r="F97" t="s">
        <v>25</v>
      </c>
      <c r="G97" t="s">
        <v>26</v>
      </c>
      <c r="H97" t="s">
        <v>91</v>
      </c>
      <c r="I97" s="17">
        <v>133600000</v>
      </c>
      <c r="J97" t="s">
        <v>58</v>
      </c>
      <c r="K97" t="s">
        <v>29</v>
      </c>
      <c r="L97" t="s">
        <v>290</v>
      </c>
      <c r="M97" s="27">
        <v>45496</v>
      </c>
      <c r="N97" s="27">
        <v>45537</v>
      </c>
      <c r="O97" t="s">
        <v>31</v>
      </c>
      <c r="P97" t="s">
        <v>32</v>
      </c>
      <c r="Q97"/>
      <c r="R97"/>
      <c r="S97"/>
      <c r="T97"/>
      <c r="U97"/>
      <c r="V97" s="152"/>
    </row>
    <row r="98" spans="1:22" s="1" customFormat="1">
      <c r="A98">
        <v>97</v>
      </c>
      <c r="B98" t="s">
        <v>291</v>
      </c>
      <c r="C98">
        <v>2024</v>
      </c>
      <c r="D98" t="s">
        <v>274</v>
      </c>
      <c r="E98" t="s">
        <v>292</v>
      </c>
      <c r="F98" t="s">
        <v>48</v>
      </c>
      <c r="G98" t="s">
        <v>35</v>
      </c>
      <c r="H98" t="s">
        <v>49</v>
      </c>
      <c r="I98" s="17">
        <v>109400000</v>
      </c>
      <c r="J98" t="s">
        <v>42</v>
      </c>
      <c r="K98" t="s">
        <v>29</v>
      </c>
      <c r="L98" t="s">
        <v>64</v>
      </c>
      <c r="M98" s="27">
        <v>45497</v>
      </c>
      <c r="N98" s="27">
        <v>45526</v>
      </c>
      <c r="O98" t="s">
        <v>69</v>
      </c>
      <c r="P98" t="s">
        <v>32</v>
      </c>
      <c r="Q98"/>
      <c r="R98"/>
      <c r="S98"/>
      <c r="T98"/>
      <c r="U98"/>
      <c r="V98" s="152"/>
    </row>
    <row r="99" spans="1:22" s="1" customFormat="1">
      <c r="A99">
        <v>98</v>
      </c>
      <c r="B99" t="s">
        <v>293</v>
      </c>
      <c r="C99">
        <v>2024</v>
      </c>
      <c r="D99" t="s">
        <v>274</v>
      </c>
      <c r="E99" t="s">
        <v>294</v>
      </c>
      <c r="F99" t="s">
        <v>25</v>
      </c>
      <c r="G99" t="s">
        <v>26</v>
      </c>
      <c r="H99" t="s">
        <v>112</v>
      </c>
      <c r="I99" s="17">
        <v>97000000</v>
      </c>
      <c r="J99" t="s">
        <v>58</v>
      </c>
      <c r="K99" t="s">
        <v>29</v>
      </c>
      <c r="L99" t="s">
        <v>295</v>
      </c>
      <c r="M99" s="27">
        <v>45498</v>
      </c>
      <c r="N99" s="27">
        <v>45530</v>
      </c>
      <c r="O99" t="s">
        <v>31</v>
      </c>
      <c r="P99" t="s">
        <v>32</v>
      </c>
      <c r="Q99"/>
      <c r="R99"/>
      <c r="S99"/>
      <c r="T99"/>
      <c r="U99"/>
      <c r="V99" s="152"/>
    </row>
    <row r="100" spans="1:22" s="1" customFormat="1">
      <c r="A100">
        <v>99</v>
      </c>
      <c r="B100" t="s">
        <v>296</v>
      </c>
      <c r="C100">
        <v>2024</v>
      </c>
      <c r="D100" t="s">
        <v>274</v>
      </c>
      <c r="E100" t="s">
        <v>297</v>
      </c>
      <c r="F100" t="s">
        <v>48</v>
      </c>
      <c r="G100" t="s">
        <v>128</v>
      </c>
      <c r="H100" t="s">
        <v>203</v>
      </c>
      <c r="I100" s="17">
        <v>202000000</v>
      </c>
      <c r="J100" t="s">
        <v>42</v>
      </c>
      <c r="K100" t="s">
        <v>29</v>
      </c>
      <c r="L100" t="s">
        <v>298</v>
      </c>
      <c r="M100" s="27">
        <v>45502</v>
      </c>
      <c r="N100" s="27">
        <v>45532</v>
      </c>
      <c r="O100" t="s">
        <v>69</v>
      </c>
      <c r="P100" t="s">
        <v>32</v>
      </c>
      <c r="Q100"/>
      <c r="R100"/>
      <c r="S100"/>
      <c r="T100"/>
      <c r="U100"/>
      <c r="V100" s="152"/>
    </row>
    <row r="101" spans="1:22" s="1" customFormat="1">
      <c r="A101">
        <v>100</v>
      </c>
      <c r="B101" t="s">
        <v>299</v>
      </c>
      <c r="C101">
        <v>2024</v>
      </c>
      <c r="D101" t="s">
        <v>274</v>
      </c>
      <c r="E101" t="s">
        <v>300</v>
      </c>
      <c r="F101" t="s">
        <v>48</v>
      </c>
      <c r="G101" t="s">
        <v>26</v>
      </c>
      <c r="H101" t="s">
        <v>87</v>
      </c>
      <c r="I101" s="17">
        <v>1052926126</v>
      </c>
      <c r="J101" t="s">
        <v>42</v>
      </c>
      <c r="K101" t="s">
        <v>67</v>
      </c>
      <c r="L101" t="s">
        <v>301</v>
      </c>
      <c r="M101" s="27">
        <v>45503</v>
      </c>
      <c r="N101" s="27">
        <v>45553</v>
      </c>
      <c r="O101" t="s">
        <v>51</v>
      </c>
      <c r="P101" t="s">
        <v>32</v>
      </c>
      <c r="Q101"/>
      <c r="R101"/>
      <c r="S101"/>
      <c r="T101"/>
      <c r="U101"/>
      <c r="V101" s="152"/>
    </row>
    <row r="102" spans="1:22" s="1" customFormat="1">
      <c r="A102">
        <v>101</v>
      </c>
      <c r="B102" t="s">
        <v>302</v>
      </c>
      <c r="C102">
        <v>2024</v>
      </c>
      <c r="D102" t="s">
        <v>303</v>
      </c>
      <c r="E102" t="s">
        <v>304</v>
      </c>
      <c r="F102" t="s">
        <v>25</v>
      </c>
      <c r="G102" t="s">
        <v>26</v>
      </c>
      <c r="H102" t="s">
        <v>91</v>
      </c>
      <c r="I102" s="17">
        <v>160480000</v>
      </c>
      <c r="J102" t="s">
        <v>58</v>
      </c>
      <c r="K102" t="s">
        <v>29</v>
      </c>
      <c r="L102" t="s">
        <v>68</v>
      </c>
      <c r="M102" s="27">
        <v>45506</v>
      </c>
      <c r="N102" s="27">
        <v>45537</v>
      </c>
      <c r="O102" t="s">
        <v>31</v>
      </c>
      <c r="P102" t="s">
        <v>32</v>
      </c>
      <c r="Q102"/>
      <c r="R102"/>
      <c r="S102"/>
      <c r="T102"/>
      <c r="U102"/>
      <c r="V102" s="152"/>
    </row>
    <row r="103" spans="1:22" s="1" customFormat="1">
      <c r="A103">
        <v>102</v>
      </c>
      <c r="B103" t="s">
        <v>305</v>
      </c>
      <c r="C103">
        <v>2024</v>
      </c>
      <c r="D103" t="s">
        <v>303</v>
      </c>
      <c r="E103" t="s">
        <v>306</v>
      </c>
      <c r="F103" t="s">
        <v>48</v>
      </c>
      <c r="G103" t="s">
        <v>26</v>
      </c>
      <c r="H103" t="s">
        <v>87</v>
      </c>
      <c r="I103" s="17">
        <v>228000000</v>
      </c>
      <c r="J103" t="s">
        <v>28</v>
      </c>
      <c r="K103" t="s">
        <v>29</v>
      </c>
      <c r="L103" t="s">
        <v>235</v>
      </c>
      <c r="M103" s="27">
        <v>45509</v>
      </c>
      <c r="N103" s="27">
        <v>45537</v>
      </c>
      <c r="O103" t="s">
        <v>69</v>
      </c>
      <c r="P103" t="s">
        <v>32</v>
      </c>
      <c r="Q103"/>
      <c r="R103"/>
      <c r="S103"/>
      <c r="T103"/>
      <c r="U103"/>
      <c r="V103" s="152"/>
    </row>
    <row r="104" spans="1:22" s="1" customFormat="1">
      <c r="A104">
        <v>103</v>
      </c>
      <c r="B104" t="s">
        <v>307</v>
      </c>
      <c r="C104">
        <v>2024</v>
      </c>
      <c r="D104" t="s">
        <v>303</v>
      </c>
      <c r="E104" t="s">
        <v>308</v>
      </c>
      <c r="F104" t="s">
        <v>25</v>
      </c>
      <c r="G104" t="s">
        <v>35</v>
      </c>
      <c r="H104" t="s">
        <v>36</v>
      </c>
      <c r="I104" s="17">
        <v>19030000000</v>
      </c>
      <c r="J104" t="s">
        <v>42</v>
      </c>
      <c r="K104" t="s">
        <v>67</v>
      </c>
      <c r="L104" t="s">
        <v>172</v>
      </c>
      <c r="M104" s="27">
        <v>45511</v>
      </c>
      <c r="N104" s="27">
        <v>45548</v>
      </c>
      <c r="O104" t="s">
        <v>31</v>
      </c>
      <c r="P104" t="s">
        <v>32</v>
      </c>
      <c r="Q104"/>
      <c r="R104"/>
      <c r="S104"/>
      <c r="T104"/>
      <c r="U104"/>
      <c r="V104" s="152"/>
    </row>
    <row r="105" spans="1:22" s="1" customFormat="1">
      <c r="A105">
        <v>104</v>
      </c>
      <c r="B105" t="s">
        <v>309</v>
      </c>
      <c r="C105">
        <v>2024</v>
      </c>
      <c r="D105" t="s">
        <v>303</v>
      </c>
      <c r="E105" t="s">
        <v>310</v>
      </c>
      <c r="F105" t="s">
        <v>48</v>
      </c>
      <c r="G105" t="s">
        <v>26</v>
      </c>
      <c r="H105" t="s">
        <v>54</v>
      </c>
      <c r="I105" s="17">
        <v>137830000</v>
      </c>
      <c r="J105" t="s">
        <v>58</v>
      </c>
      <c r="K105" t="s">
        <v>29</v>
      </c>
      <c r="L105" t="s">
        <v>109</v>
      </c>
      <c r="M105" s="27">
        <v>45511</v>
      </c>
      <c r="N105" s="27">
        <v>45537</v>
      </c>
      <c r="O105" t="s">
        <v>69</v>
      </c>
      <c r="P105" t="s">
        <v>32</v>
      </c>
      <c r="Q105"/>
      <c r="R105"/>
      <c r="S105"/>
      <c r="T105"/>
      <c r="U105"/>
      <c r="V105" s="152"/>
    </row>
    <row r="106" spans="1:22" s="1" customFormat="1">
      <c r="A106">
        <v>105</v>
      </c>
      <c r="B106" t="s">
        <v>311</v>
      </c>
      <c r="C106">
        <v>2024</v>
      </c>
      <c r="D106" t="s">
        <v>303</v>
      </c>
      <c r="E106" t="s">
        <v>312</v>
      </c>
      <c r="F106" t="s">
        <v>25</v>
      </c>
      <c r="G106" t="s">
        <v>128</v>
      </c>
      <c r="H106" t="s">
        <v>313</v>
      </c>
      <c r="I106" s="17">
        <v>11742768000</v>
      </c>
      <c r="J106" t="s">
        <v>28</v>
      </c>
      <c r="K106" t="s">
        <v>67</v>
      </c>
      <c r="L106" t="s">
        <v>139</v>
      </c>
      <c r="M106" s="27">
        <v>45516</v>
      </c>
      <c r="N106" s="27">
        <v>45541</v>
      </c>
      <c r="O106" t="s">
        <v>51</v>
      </c>
      <c r="P106" t="s">
        <v>32</v>
      </c>
      <c r="Q106"/>
      <c r="R106"/>
      <c r="S106"/>
      <c r="T106"/>
      <c r="U106"/>
      <c r="V106" s="152"/>
    </row>
    <row r="107" spans="1:22" s="1" customFormat="1">
      <c r="A107">
        <v>106</v>
      </c>
      <c r="B107" t="s">
        <v>314</v>
      </c>
      <c r="C107">
        <v>2024</v>
      </c>
      <c r="D107" t="s">
        <v>303</v>
      </c>
      <c r="E107" t="s">
        <v>315</v>
      </c>
      <c r="F107" t="s">
        <v>25</v>
      </c>
      <c r="G107" t="s">
        <v>128</v>
      </c>
      <c r="H107" t="s">
        <v>313</v>
      </c>
      <c r="I107" s="17">
        <v>5632776000</v>
      </c>
      <c r="J107" t="s">
        <v>28</v>
      </c>
      <c r="K107" t="s">
        <v>29</v>
      </c>
      <c r="L107" t="s">
        <v>139</v>
      </c>
      <c r="M107" s="27">
        <v>45516</v>
      </c>
      <c r="N107" s="27">
        <v>45541</v>
      </c>
      <c r="O107" t="s">
        <v>51</v>
      </c>
      <c r="P107" t="s">
        <v>32</v>
      </c>
      <c r="Q107"/>
      <c r="R107"/>
      <c r="S107"/>
      <c r="T107"/>
      <c r="U107"/>
      <c r="V107" s="152"/>
    </row>
    <row r="108" spans="1:22" s="1" customFormat="1">
      <c r="A108">
        <v>107</v>
      </c>
      <c r="B108" t="s">
        <v>316</v>
      </c>
      <c r="C108">
        <v>2024</v>
      </c>
      <c r="D108" t="s">
        <v>303</v>
      </c>
      <c r="E108" t="s">
        <v>317</v>
      </c>
      <c r="F108" t="s">
        <v>48</v>
      </c>
      <c r="G108" t="s">
        <v>26</v>
      </c>
      <c r="H108" t="s">
        <v>112</v>
      </c>
      <c r="I108" s="17">
        <v>70500000</v>
      </c>
      <c r="J108" t="s">
        <v>42</v>
      </c>
      <c r="K108" t="s">
        <v>29</v>
      </c>
      <c r="L108" t="s">
        <v>301</v>
      </c>
      <c r="M108" s="27">
        <v>45516</v>
      </c>
      <c r="N108" s="27">
        <v>45544</v>
      </c>
      <c r="O108" t="s">
        <v>69</v>
      </c>
      <c r="P108" t="s">
        <v>32</v>
      </c>
      <c r="Q108"/>
      <c r="R108"/>
      <c r="S108"/>
      <c r="T108"/>
      <c r="U108"/>
      <c r="V108" s="152"/>
    </row>
    <row r="109" spans="1:22" s="1" customFormat="1">
      <c r="A109">
        <v>108</v>
      </c>
      <c r="B109" t="s">
        <v>318</v>
      </c>
      <c r="C109">
        <v>2024</v>
      </c>
      <c r="D109" t="s">
        <v>303</v>
      </c>
      <c r="E109" t="s">
        <v>319</v>
      </c>
      <c r="F109" t="s">
        <v>25</v>
      </c>
      <c r="G109" t="s">
        <v>35</v>
      </c>
      <c r="H109" t="s">
        <v>36</v>
      </c>
      <c r="I109" s="17">
        <v>25018767973</v>
      </c>
      <c r="J109" t="s">
        <v>42</v>
      </c>
      <c r="K109" t="s">
        <v>43</v>
      </c>
      <c r="L109" t="s">
        <v>301</v>
      </c>
      <c r="M109" s="27">
        <v>45518</v>
      </c>
      <c r="N109" s="27">
        <v>45589</v>
      </c>
      <c r="O109" t="s">
        <v>51</v>
      </c>
      <c r="P109" t="s">
        <v>32</v>
      </c>
      <c r="Q109"/>
      <c r="R109"/>
      <c r="S109"/>
      <c r="T109"/>
      <c r="U109"/>
      <c r="V109" s="152"/>
    </row>
    <row r="110" spans="1:22" s="1" customFormat="1">
      <c r="A110">
        <v>109</v>
      </c>
      <c r="B110" t="s">
        <v>320</v>
      </c>
      <c r="C110">
        <v>2024</v>
      </c>
      <c r="D110" t="s">
        <v>303</v>
      </c>
      <c r="E110" t="s">
        <v>321</v>
      </c>
      <c r="F110" t="s">
        <v>48</v>
      </c>
      <c r="G110" t="s">
        <v>128</v>
      </c>
      <c r="H110" t="s">
        <v>322</v>
      </c>
      <c r="I110" s="17">
        <v>391300000</v>
      </c>
      <c r="J110" t="s">
        <v>28</v>
      </c>
      <c r="K110" t="s">
        <v>29</v>
      </c>
      <c r="L110" t="s">
        <v>200</v>
      </c>
      <c r="M110" s="27">
        <v>45519</v>
      </c>
      <c r="N110" s="27">
        <v>45657</v>
      </c>
      <c r="O110" t="s">
        <v>69</v>
      </c>
      <c r="P110" t="s">
        <v>32</v>
      </c>
      <c r="Q110"/>
      <c r="R110"/>
      <c r="S110"/>
      <c r="T110"/>
      <c r="U110"/>
      <c r="V110" s="152"/>
    </row>
    <row r="111" spans="1:22" s="1" customFormat="1">
      <c r="A111">
        <v>110</v>
      </c>
      <c r="B111" t="s">
        <v>323</v>
      </c>
      <c r="C111">
        <v>2024</v>
      </c>
      <c r="D111" t="s">
        <v>303</v>
      </c>
      <c r="E111" t="s">
        <v>324</v>
      </c>
      <c r="F111" t="s">
        <v>25</v>
      </c>
      <c r="G111" t="s">
        <v>35</v>
      </c>
      <c r="H111" t="s">
        <v>41</v>
      </c>
      <c r="I111" s="17">
        <v>1019470840</v>
      </c>
      <c r="J111" t="s">
        <v>42</v>
      </c>
      <c r="K111" t="s">
        <v>67</v>
      </c>
      <c r="L111" t="s">
        <v>191</v>
      </c>
      <c r="M111" s="27">
        <v>45524</v>
      </c>
      <c r="N111" s="27">
        <v>45554</v>
      </c>
      <c r="O111" t="s">
        <v>51</v>
      </c>
      <c r="P111" t="s">
        <v>32</v>
      </c>
      <c r="Q111"/>
      <c r="R111"/>
      <c r="S111"/>
      <c r="T111"/>
      <c r="U111"/>
      <c r="V111" s="152"/>
    </row>
    <row r="112" spans="1:22" s="1" customFormat="1">
      <c r="A112">
        <v>111</v>
      </c>
      <c r="B112" t="s">
        <v>325</v>
      </c>
      <c r="C112">
        <v>2024</v>
      </c>
      <c r="D112" t="s">
        <v>303</v>
      </c>
      <c r="E112" t="s">
        <v>326</v>
      </c>
      <c r="F112" t="s">
        <v>48</v>
      </c>
      <c r="G112" t="s">
        <v>26</v>
      </c>
      <c r="H112" t="s">
        <v>27</v>
      </c>
      <c r="I112" s="17">
        <v>314100000</v>
      </c>
      <c r="J112" t="s">
        <v>28</v>
      </c>
      <c r="K112" t="s">
        <v>29</v>
      </c>
      <c r="L112" t="s">
        <v>327</v>
      </c>
      <c r="M112" s="27">
        <v>45524</v>
      </c>
      <c r="N112" s="27">
        <v>45554</v>
      </c>
      <c r="O112" t="s">
        <v>31</v>
      </c>
      <c r="P112" t="s">
        <v>32</v>
      </c>
      <c r="Q112"/>
      <c r="R112"/>
      <c r="S112"/>
      <c r="T112"/>
      <c r="U112"/>
      <c r="V112" s="152"/>
    </row>
    <row r="113" spans="1:22" s="1" customFormat="1">
      <c r="A113">
        <v>112</v>
      </c>
      <c r="B113" t="s">
        <v>328</v>
      </c>
      <c r="C113">
        <v>2024</v>
      </c>
      <c r="D113" t="s">
        <v>303</v>
      </c>
      <c r="E113" t="s">
        <v>329</v>
      </c>
      <c r="F113" t="s">
        <v>25</v>
      </c>
      <c r="G113" t="s">
        <v>26</v>
      </c>
      <c r="H113" t="s">
        <v>27</v>
      </c>
      <c r="I113" s="17">
        <v>357000000</v>
      </c>
      <c r="J113" t="s">
        <v>37</v>
      </c>
      <c r="K113" t="s">
        <v>29</v>
      </c>
      <c r="L113" t="s">
        <v>330</v>
      </c>
      <c r="M113" s="27">
        <v>45526</v>
      </c>
      <c r="N113" s="27">
        <v>45575</v>
      </c>
      <c r="O113" t="s">
        <v>31</v>
      </c>
      <c r="P113" t="s">
        <v>32</v>
      </c>
      <c r="Q113"/>
      <c r="R113"/>
      <c r="S113"/>
      <c r="T113"/>
      <c r="U113"/>
      <c r="V113" s="152"/>
    </row>
    <row r="114" spans="1:22" s="1" customFormat="1">
      <c r="A114">
        <v>113</v>
      </c>
      <c r="B114" t="s">
        <v>331</v>
      </c>
      <c r="C114">
        <v>2024</v>
      </c>
      <c r="D114" t="s">
        <v>303</v>
      </c>
      <c r="E114" t="s">
        <v>332</v>
      </c>
      <c r="F114" t="s">
        <v>25</v>
      </c>
      <c r="G114" t="s">
        <v>26</v>
      </c>
      <c r="H114" t="s">
        <v>91</v>
      </c>
      <c r="I114" s="17">
        <v>972000000</v>
      </c>
      <c r="J114" t="s">
        <v>28</v>
      </c>
      <c r="K114" t="s">
        <v>29</v>
      </c>
      <c r="L114" t="s">
        <v>55</v>
      </c>
      <c r="M114" s="27">
        <v>45530</v>
      </c>
      <c r="N114" s="27">
        <v>45574</v>
      </c>
      <c r="O114" t="s">
        <v>31</v>
      </c>
      <c r="P114" t="s">
        <v>32</v>
      </c>
      <c r="Q114"/>
      <c r="R114"/>
      <c r="S114"/>
      <c r="T114"/>
      <c r="U114"/>
      <c r="V114" s="152"/>
    </row>
    <row r="115" spans="1:22" s="1" customFormat="1">
      <c r="A115">
        <v>114</v>
      </c>
      <c r="B115" t="s">
        <v>333</v>
      </c>
      <c r="C115">
        <v>2024</v>
      </c>
      <c r="D115" t="s">
        <v>303</v>
      </c>
      <c r="E115" t="s">
        <v>334</v>
      </c>
      <c r="F115" t="s">
        <v>48</v>
      </c>
      <c r="G115" t="s">
        <v>26</v>
      </c>
      <c r="H115" t="s">
        <v>54</v>
      </c>
      <c r="I115" s="17">
        <v>2400000000</v>
      </c>
      <c r="J115" t="s">
        <v>42</v>
      </c>
      <c r="K115" t="s">
        <v>29</v>
      </c>
      <c r="L115" t="s">
        <v>44</v>
      </c>
      <c r="M115" s="27">
        <v>45533</v>
      </c>
      <c r="N115" s="27">
        <v>45555</v>
      </c>
      <c r="O115" t="s">
        <v>69</v>
      </c>
      <c r="P115" t="s">
        <v>32</v>
      </c>
      <c r="Q115"/>
      <c r="R115"/>
      <c r="S115"/>
      <c r="T115"/>
      <c r="U115"/>
      <c r="V115" s="152"/>
    </row>
    <row r="116" spans="1:22" s="1" customFormat="1">
      <c r="A116">
        <v>115</v>
      </c>
      <c r="B116" t="s">
        <v>335</v>
      </c>
      <c r="C116">
        <v>2024</v>
      </c>
      <c r="D116" t="s">
        <v>303</v>
      </c>
      <c r="E116" t="s">
        <v>336</v>
      </c>
      <c r="F116" t="s">
        <v>25</v>
      </c>
      <c r="G116" t="s">
        <v>35</v>
      </c>
      <c r="H116" t="s">
        <v>36</v>
      </c>
      <c r="I116" s="17">
        <v>4950925676</v>
      </c>
      <c r="J116" t="s">
        <v>58</v>
      </c>
      <c r="K116" t="s">
        <v>67</v>
      </c>
      <c r="L116" t="s">
        <v>106</v>
      </c>
      <c r="M116" s="27">
        <v>45534</v>
      </c>
      <c r="N116" s="27">
        <v>45583</v>
      </c>
      <c r="O116" t="s">
        <v>69</v>
      </c>
      <c r="P116" t="s">
        <v>32</v>
      </c>
      <c r="Q116"/>
      <c r="R116"/>
      <c r="S116"/>
      <c r="T116"/>
      <c r="U116"/>
      <c r="V116" s="152"/>
    </row>
    <row r="117" spans="1:22" s="1" customFormat="1">
      <c r="A117">
        <v>116</v>
      </c>
      <c r="B117" t="s">
        <v>337</v>
      </c>
      <c r="C117">
        <v>2024</v>
      </c>
      <c r="D117" t="s">
        <v>338</v>
      </c>
      <c r="E117" t="s">
        <v>339</v>
      </c>
      <c r="F117" t="s">
        <v>25</v>
      </c>
      <c r="G117" t="s">
        <v>26</v>
      </c>
      <c r="H117" t="s">
        <v>54</v>
      </c>
      <c r="I117" s="17">
        <v>1549999800</v>
      </c>
      <c r="J117" t="s">
        <v>42</v>
      </c>
      <c r="K117" t="s">
        <v>29</v>
      </c>
      <c r="L117" t="s">
        <v>191</v>
      </c>
      <c r="M117" s="27">
        <v>45540</v>
      </c>
      <c r="N117" s="27">
        <v>45562</v>
      </c>
      <c r="O117" t="s">
        <v>51</v>
      </c>
      <c r="P117" t="s">
        <v>32</v>
      </c>
      <c r="Q117"/>
      <c r="R117"/>
      <c r="S117"/>
      <c r="T117"/>
      <c r="U117"/>
      <c r="V117" s="152"/>
    </row>
    <row r="118" spans="1:22" s="1" customFormat="1">
      <c r="A118">
        <v>117</v>
      </c>
      <c r="B118" t="s">
        <v>340</v>
      </c>
      <c r="C118">
        <v>2024</v>
      </c>
      <c r="D118" t="s">
        <v>338</v>
      </c>
      <c r="E118" t="s">
        <v>341</v>
      </c>
      <c r="F118" t="s">
        <v>48</v>
      </c>
      <c r="G118" t="s">
        <v>128</v>
      </c>
      <c r="H118" t="s">
        <v>252</v>
      </c>
      <c r="I118" s="17">
        <v>178900000</v>
      </c>
      <c r="J118" t="s">
        <v>28</v>
      </c>
      <c r="K118" t="s">
        <v>29</v>
      </c>
      <c r="L118" t="s">
        <v>55</v>
      </c>
      <c r="M118" s="27">
        <v>45540</v>
      </c>
      <c r="N118" s="27">
        <v>45568</v>
      </c>
      <c r="O118" t="s">
        <v>69</v>
      </c>
      <c r="P118" t="s">
        <v>32</v>
      </c>
      <c r="Q118"/>
      <c r="R118"/>
      <c r="S118"/>
      <c r="T118"/>
      <c r="U118"/>
      <c r="V118" s="152"/>
    </row>
    <row r="119" spans="1:22" s="1" customFormat="1">
      <c r="A119">
        <v>118</v>
      </c>
      <c r="B119" t="s">
        <v>342</v>
      </c>
      <c r="C119">
        <v>2024</v>
      </c>
      <c r="D119" t="s">
        <v>338</v>
      </c>
      <c r="E119" t="s">
        <v>343</v>
      </c>
      <c r="F119" t="s">
        <v>48</v>
      </c>
      <c r="G119" t="s">
        <v>128</v>
      </c>
      <c r="H119" t="s">
        <v>252</v>
      </c>
      <c r="I119" s="17">
        <v>243440000</v>
      </c>
      <c r="J119" t="s">
        <v>28</v>
      </c>
      <c r="K119" t="s">
        <v>29</v>
      </c>
      <c r="L119" t="s">
        <v>150</v>
      </c>
      <c r="M119" s="27">
        <v>45544</v>
      </c>
      <c r="N119" s="27">
        <v>45572</v>
      </c>
      <c r="O119" t="s">
        <v>31</v>
      </c>
      <c r="P119" t="s">
        <v>32</v>
      </c>
      <c r="Q119"/>
      <c r="R119"/>
      <c r="S119"/>
      <c r="T119"/>
      <c r="U119"/>
      <c r="V119" s="152"/>
    </row>
    <row r="120" spans="1:22" s="1" customFormat="1">
      <c r="A120">
        <v>119</v>
      </c>
      <c r="B120" t="s">
        <v>344</v>
      </c>
      <c r="C120">
        <v>2024</v>
      </c>
      <c r="D120" t="s">
        <v>338</v>
      </c>
      <c r="E120" t="s">
        <v>345</v>
      </c>
      <c r="F120" t="s">
        <v>25</v>
      </c>
      <c r="G120" t="s">
        <v>26</v>
      </c>
      <c r="H120" t="s">
        <v>91</v>
      </c>
      <c r="I120" s="17">
        <v>869369369</v>
      </c>
      <c r="J120" t="s">
        <v>58</v>
      </c>
      <c r="K120" t="s">
        <v>67</v>
      </c>
      <c r="L120" t="s">
        <v>346</v>
      </c>
      <c r="M120" s="27">
        <v>45546</v>
      </c>
      <c r="N120" s="27">
        <v>45590</v>
      </c>
      <c r="O120" t="s">
        <v>69</v>
      </c>
      <c r="P120" t="s">
        <v>32</v>
      </c>
      <c r="Q120"/>
      <c r="R120"/>
      <c r="S120"/>
      <c r="T120"/>
      <c r="U120"/>
      <c r="V120" s="152"/>
    </row>
    <row r="121" spans="1:22" s="1" customFormat="1">
      <c r="A121">
        <v>120</v>
      </c>
      <c r="B121" t="s">
        <v>347</v>
      </c>
      <c r="C121">
        <v>2024</v>
      </c>
      <c r="D121" t="s">
        <v>338</v>
      </c>
      <c r="E121" t="s">
        <v>348</v>
      </c>
      <c r="F121" t="s">
        <v>25</v>
      </c>
      <c r="G121" t="s">
        <v>26</v>
      </c>
      <c r="H121" t="s">
        <v>87</v>
      </c>
      <c r="I121" s="17">
        <v>490471200</v>
      </c>
      <c r="J121" t="s">
        <v>37</v>
      </c>
      <c r="K121" t="s">
        <v>29</v>
      </c>
      <c r="L121" t="s">
        <v>253</v>
      </c>
      <c r="M121" s="27">
        <v>45546</v>
      </c>
      <c r="N121" s="27">
        <v>45573</v>
      </c>
      <c r="O121" t="s">
        <v>51</v>
      </c>
      <c r="P121" t="s">
        <v>32</v>
      </c>
      <c r="Q121"/>
      <c r="R121"/>
      <c r="S121"/>
      <c r="T121"/>
      <c r="U121"/>
      <c r="V121" s="152"/>
    </row>
    <row r="122" spans="1:22" s="1" customFormat="1">
      <c r="A122">
        <v>121</v>
      </c>
      <c r="B122" t="s">
        <v>349</v>
      </c>
      <c r="C122">
        <v>2024</v>
      </c>
      <c r="D122" t="s">
        <v>338</v>
      </c>
      <c r="E122" t="s">
        <v>350</v>
      </c>
      <c r="F122" t="s">
        <v>25</v>
      </c>
      <c r="G122" t="s">
        <v>26</v>
      </c>
      <c r="H122" t="s">
        <v>27</v>
      </c>
      <c r="I122" s="17">
        <v>97819820</v>
      </c>
      <c r="J122" t="s">
        <v>58</v>
      </c>
      <c r="K122" t="s">
        <v>29</v>
      </c>
      <c r="L122" t="s">
        <v>88</v>
      </c>
      <c r="M122" s="27">
        <v>45548</v>
      </c>
      <c r="N122" s="27">
        <v>45610</v>
      </c>
      <c r="O122" t="s">
        <v>31</v>
      </c>
      <c r="P122" t="s">
        <v>32</v>
      </c>
      <c r="Q122"/>
      <c r="R122"/>
      <c r="S122"/>
      <c r="T122"/>
      <c r="U122"/>
      <c r="V122" s="152"/>
    </row>
    <row r="123" spans="1:22" s="1" customFormat="1">
      <c r="A123">
        <v>122</v>
      </c>
      <c r="B123" t="s">
        <v>351</v>
      </c>
      <c r="C123">
        <v>2024</v>
      </c>
      <c r="D123" t="s">
        <v>338</v>
      </c>
      <c r="E123" t="s">
        <v>352</v>
      </c>
      <c r="F123" t="s">
        <v>25</v>
      </c>
      <c r="G123" t="s">
        <v>26</v>
      </c>
      <c r="H123" t="s">
        <v>112</v>
      </c>
      <c r="I123" s="17">
        <v>63063063</v>
      </c>
      <c r="J123" t="s">
        <v>58</v>
      </c>
      <c r="K123" t="s">
        <v>29</v>
      </c>
      <c r="L123" t="s">
        <v>88</v>
      </c>
      <c r="M123" s="27">
        <v>45552</v>
      </c>
      <c r="N123" s="27">
        <v>45583</v>
      </c>
      <c r="O123" t="s">
        <v>31</v>
      </c>
      <c r="P123" t="s">
        <v>32</v>
      </c>
      <c r="Q123"/>
      <c r="R123"/>
      <c r="S123"/>
      <c r="T123"/>
      <c r="U123"/>
      <c r="V123" s="152"/>
    </row>
    <row r="124" spans="1:22" s="1" customFormat="1">
      <c r="A124">
        <v>123</v>
      </c>
      <c r="B124" t="s">
        <v>353</v>
      </c>
      <c r="C124">
        <v>2024</v>
      </c>
      <c r="D124" t="s">
        <v>338</v>
      </c>
      <c r="E124" t="s">
        <v>354</v>
      </c>
      <c r="F124"/>
      <c r="G124" t="s">
        <v>26</v>
      </c>
      <c r="H124" t="s">
        <v>91</v>
      </c>
      <c r="I124" s="17">
        <v>112000000</v>
      </c>
      <c r="J124" t="s">
        <v>42</v>
      </c>
      <c r="K124" t="s">
        <v>29</v>
      </c>
      <c r="L124" t="s">
        <v>64</v>
      </c>
      <c r="M124" s="27">
        <v>45558</v>
      </c>
      <c r="N124" s="27">
        <v>45583</v>
      </c>
      <c r="O124" t="s">
        <v>69</v>
      </c>
      <c r="P124" t="s">
        <v>32</v>
      </c>
      <c r="Q124"/>
      <c r="R124"/>
      <c r="S124"/>
      <c r="T124"/>
      <c r="U124"/>
      <c r="V124" s="152"/>
    </row>
    <row r="125" spans="1:22" s="1" customFormat="1">
      <c r="A125">
        <v>124</v>
      </c>
      <c r="B125" t="s">
        <v>355</v>
      </c>
      <c r="C125">
        <v>2024</v>
      </c>
      <c r="D125" t="s">
        <v>338</v>
      </c>
      <c r="E125" t="s">
        <v>356</v>
      </c>
      <c r="F125" t="s">
        <v>48</v>
      </c>
      <c r="G125" t="s">
        <v>26</v>
      </c>
      <c r="H125" t="s">
        <v>27</v>
      </c>
      <c r="I125" s="17">
        <v>131400000</v>
      </c>
      <c r="J125" t="s">
        <v>28</v>
      </c>
      <c r="K125" t="s">
        <v>29</v>
      </c>
      <c r="L125" t="s">
        <v>55</v>
      </c>
      <c r="M125" s="27">
        <v>45561</v>
      </c>
      <c r="N125" s="27">
        <v>45593</v>
      </c>
      <c r="O125" t="s">
        <v>69</v>
      </c>
      <c r="P125" t="s">
        <v>32</v>
      </c>
      <c r="Q125"/>
      <c r="R125"/>
      <c r="S125"/>
      <c r="T125"/>
      <c r="U125"/>
      <c r="V125" s="152"/>
    </row>
    <row r="126" spans="1:22" s="1" customFormat="1">
      <c r="A126">
        <v>125</v>
      </c>
      <c r="B126" t="s">
        <v>357</v>
      </c>
      <c r="C126">
        <v>2024</v>
      </c>
      <c r="D126" t="s">
        <v>358</v>
      </c>
      <c r="E126" t="s">
        <v>359</v>
      </c>
      <c r="F126" t="s">
        <v>25</v>
      </c>
      <c r="G126" t="s">
        <v>26</v>
      </c>
      <c r="H126" t="s">
        <v>360</v>
      </c>
      <c r="I126" s="17">
        <v>145200000</v>
      </c>
      <c r="J126" t="s">
        <v>58</v>
      </c>
      <c r="K126" t="s">
        <v>29</v>
      </c>
      <c r="L126" t="s">
        <v>38</v>
      </c>
      <c r="M126" s="27">
        <v>45566</v>
      </c>
      <c r="N126" s="27">
        <v>45595</v>
      </c>
      <c r="O126" t="s">
        <v>51</v>
      </c>
      <c r="P126" t="s">
        <v>32</v>
      </c>
      <c r="Q126"/>
      <c r="R126"/>
      <c r="S126"/>
      <c r="T126"/>
      <c r="U126"/>
      <c r="V126" s="152"/>
    </row>
    <row r="127" spans="1:22" s="1" customFormat="1">
      <c r="A127">
        <v>126</v>
      </c>
      <c r="B127" t="s">
        <v>361</v>
      </c>
      <c r="C127">
        <v>2024</v>
      </c>
      <c r="D127" t="s">
        <v>358</v>
      </c>
      <c r="E127" t="s">
        <v>362</v>
      </c>
      <c r="F127" t="s">
        <v>25</v>
      </c>
      <c r="G127" t="s">
        <v>35</v>
      </c>
      <c r="H127" t="s">
        <v>123</v>
      </c>
      <c r="I127" s="17">
        <v>431000000</v>
      </c>
      <c r="J127" t="s">
        <v>42</v>
      </c>
      <c r="K127" t="s">
        <v>29</v>
      </c>
      <c r="L127" t="s">
        <v>172</v>
      </c>
      <c r="M127" s="27">
        <v>45568</v>
      </c>
      <c r="N127" s="27">
        <v>45595</v>
      </c>
      <c r="O127" t="s">
        <v>31</v>
      </c>
      <c r="P127" t="s">
        <v>32</v>
      </c>
      <c r="Q127"/>
      <c r="R127"/>
      <c r="S127"/>
      <c r="T127"/>
      <c r="U127"/>
      <c r="V127" s="152"/>
    </row>
    <row r="128" spans="1:22" s="1" customFormat="1">
      <c r="A128">
        <v>127</v>
      </c>
      <c r="B128" t="s">
        <v>363</v>
      </c>
      <c r="C128">
        <v>2024</v>
      </c>
      <c r="D128" t="s">
        <v>358</v>
      </c>
      <c r="E128" t="s">
        <v>364</v>
      </c>
      <c r="F128" t="s">
        <v>48</v>
      </c>
      <c r="G128" t="s">
        <v>26</v>
      </c>
      <c r="H128" t="s">
        <v>112</v>
      </c>
      <c r="I128" s="17">
        <v>179480000</v>
      </c>
      <c r="J128" t="s">
        <v>28</v>
      </c>
      <c r="K128" t="s">
        <v>29</v>
      </c>
      <c r="L128" t="s">
        <v>365</v>
      </c>
      <c r="M128" s="27">
        <v>45572</v>
      </c>
      <c r="N128" s="27">
        <v>45600</v>
      </c>
      <c r="O128" t="s">
        <v>69</v>
      </c>
      <c r="P128" t="s">
        <v>32</v>
      </c>
      <c r="Q128"/>
      <c r="R128"/>
      <c r="S128"/>
      <c r="T128"/>
      <c r="U128"/>
      <c r="V128" s="152"/>
    </row>
    <row r="129" spans="1:22" s="1" customFormat="1">
      <c r="A129">
        <v>128</v>
      </c>
      <c r="B129" t="s">
        <v>366</v>
      </c>
      <c r="C129">
        <v>2024</v>
      </c>
      <c r="D129" t="s">
        <v>358</v>
      </c>
      <c r="E129" t="s">
        <v>367</v>
      </c>
      <c r="F129" t="s">
        <v>48</v>
      </c>
      <c r="G129" t="s">
        <v>26</v>
      </c>
      <c r="H129" t="s">
        <v>54</v>
      </c>
      <c r="I129" s="17">
        <v>148500000</v>
      </c>
      <c r="J129" t="s">
        <v>58</v>
      </c>
      <c r="K129" t="s">
        <v>29</v>
      </c>
      <c r="L129" t="s">
        <v>290</v>
      </c>
      <c r="M129" s="27">
        <v>45572</v>
      </c>
      <c r="N129" s="27">
        <v>45597</v>
      </c>
      <c r="O129" t="s">
        <v>69</v>
      </c>
      <c r="P129" t="s">
        <v>32</v>
      </c>
      <c r="Q129"/>
      <c r="R129"/>
      <c r="S129"/>
      <c r="T129"/>
      <c r="U129"/>
      <c r="V129" s="152"/>
    </row>
    <row r="130" spans="1:22" s="1" customFormat="1">
      <c r="A130">
        <v>129</v>
      </c>
      <c r="B130" t="s">
        <v>368</v>
      </c>
      <c r="C130">
        <v>2024</v>
      </c>
      <c r="D130" t="s">
        <v>358</v>
      </c>
      <c r="E130" t="s">
        <v>369</v>
      </c>
      <c r="F130" t="s">
        <v>25</v>
      </c>
      <c r="G130" t="s">
        <v>35</v>
      </c>
      <c r="H130" t="s">
        <v>49</v>
      </c>
      <c r="I130" s="17">
        <v>1155000000</v>
      </c>
      <c r="J130" t="s">
        <v>58</v>
      </c>
      <c r="K130" t="s">
        <v>67</v>
      </c>
      <c r="L130" t="s">
        <v>116</v>
      </c>
      <c r="M130" s="27">
        <v>45574</v>
      </c>
      <c r="N130" s="27">
        <v>45649</v>
      </c>
      <c r="O130" t="s">
        <v>31</v>
      </c>
      <c r="P130" t="s">
        <v>32</v>
      </c>
      <c r="Q130"/>
      <c r="R130"/>
      <c r="S130"/>
      <c r="T130"/>
      <c r="U130"/>
      <c r="V130" s="152"/>
    </row>
    <row r="131" spans="1:22" s="1" customFormat="1">
      <c r="A131">
        <v>130</v>
      </c>
      <c r="B131" t="s">
        <v>370</v>
      </c>
      <c r="C131">
        <v>2024</v>
      </c>
      <c r="D131" t="s">
        <v>358</v>
      </c>
      <c r="E131" t="s">
        <v>371</v>
      </c>
      <c r="F131" t="s">
        <v>25</v>
      </c>
      <c r="G131" t="s">
        <v>35</v>
      </c>
      <c r="H131" t="s">
        <v>41</v>
      </c>
      <c r="I131" s="17">
        <v>556000000</v>
      </c>
      <c r="J131" t="s">
        <v>58</v>
      </c>
      <c r="K131" t="s">
        <v>29</v>
      </c>
      <c r="L131" t="s">
        <v>116</v>
      </c>
      <c r="M131" s="27">
        <v>45574</v>
      </c>
      <c r="N131" s="27">
        <v>45596</v>
      </c>
      <c r="O131" t="s">
        <v>31</v>
      </c>
      <c r="P131" t="s">
        <v>32</v>
      </c>
      <c r="Q131"/>
      <c r="R131"/>
      <c r="S131"/>
      <c r="T131"/>
      <c r="U131"/>
      <c r="V131" s="152"/>
    </row>
    <row r="132" spans="1:22" s="1" customFormat="1">
      <c r="A132">
        <v>131</v>
      </c>
      <c r="B132" t="s">
        <v>372</v>
      </c>
      <c r="C132">
        <v>2024</v>
      </c>
      <c r="D132" t="s">
        <v>358</v>
      </c>
      <c r="E132" t="s">
        <v>373</v>
      </c>
      <c r="F132" t="s">
        <v>25</v>
      </c>
      <c r="G132" t="s">
        <v>128</v>
      </c>
      <c r="H132" t="s">
        <v>374</v>
      </c>
      <c r="I132" s="17">
        <v>99140000</v>
      </c>
      <c r="J132" t="s">
        <v>28</v>
      </c>
      <c r="K132" t="s">
        <v>29</v>
      </c>
      <c r="L132" t="s">
        <v>55</v>
      </c>
      <c r="M132" s="27">
        <v>45575</v>
      </c>
      <c r="N132" s="27">
        <v>45603</v>
      </c>
      <c r="O132" t="s">
        <v>51</v>
      </c>
      <c r="P132" t="s">
        <v>32</v>
      </c>
      <c r="Q132"/>
      <c r="R132"/>
      <c r="S132"/>
      <c r="T132"/>
      <c r="U132"/>
      <c r="V132" s="152"/>
    </row>
    <row r="133" spans="1:22" s="1" customFormat="1">
      <c r="A133">
        <v>132</v>
      </c>
      <c r="B133" t="s">
        <v>375</v>
      </c>
      <c r="C133">
        <v>2024</v>
      </c>
      <c r="D133" t="s">
        <v>358</v>
      </c>
      <c r="E133" t="s">
        <v>376</v>
      </c>
      <c r="F133" t="s">
        <v>25</v>
      </c>
      <c r="G133" t="s">
        <v>35</v>
      </c>
      <c r="H133" t="s">
        <v>36</v>
      </c>
      <c r="I133" s="17">
        <v>29222550763</v>
      </c>
      <c r="J133" t="s">
        <v>42</v>
      </c>
      <c r="K133" t="s">
        <v>67</v>
      </c>
      <c r="L133" t="s">
        <v>172</v>
      </c>
      <c r="M133" s="27">
        <v>45583</v>
      </c>
      <c r="N133" s="27">
        <v>45681</v>
      </c>
      <c r="O133" t="s">
        <v>51</v>
      </c>
      <c r="P133" t="s">
        <v>32</v>
      </c>
      <c r="Q133"/>
      <c r="R133"/>
      <c r="S133"/>
      <c r="T133"/>
      <c r="U133" t="s">
        <v>377</v>
      </c>
      <c r="V133" s="152"/>
    </row>
    <row r="134" spans="1:22" s="1" customFormat="1">
      <c r="A134">
        <v>133</v>
      </c>
      <c r="B134" t="s">
        <v>378</v>
      </c>
      <c r="C134">
        <v>2024</v>
      </c>
      <c r="D134" t="s">
        <v>358</v>
      </c>
      <c r="E134" t="s">
        <v>379</v>
      </c>
      <c r="F134" t="s">
        <v>25</v>
      </c>
      <c r="G134" t="s">
        <v>35</v>
      </c>
      <c r="H134" t="s">
        <v>123</v>
      </c>
      <c r="I134" s="17">
        <v>200750600</v>
      </c>
      <c r="J134" t="s">
        <v>28</v>
      </c>
      <c r="K134" t="s">
        <v>29</v>
      </c>
      <c r="L134" t="s">
        <v>142</v>
      </c>
      <c r="M134" s="27">
        <v>45592</v>
      </c>
      <c r="N134" s="27">
        <v>45609</v>
      </c>
      <c r="O134" t="s">
        <v>51</v>
      </c>
      <c r="P134" t="s">
        <v>32</v>
      </c>
      <c r="Q134"/>
      <c r="R134"/>
      <c r="S134"/>
      <c r="T134"/>
      <c r="U134"/>
      <c r="V134" s="152"/>
    </row>
    <row r="135" spans="1:22" s="1" customFormat="1">
      <c r="A135">
        <v>134</v>
      </c>
      <c r="B135" t="s">
        <v>380</v>
      </c>
      <c r="C135">
        <v>2024</v>
      </c>
      <c r="D135" t="s">
        <v>358</v>
      </c>
      <c r="E135" t="s">
        <v>381</v>
      </c>
      <c r="F135" t="s">
        <v>25</v>
      </c>
      <c r="G135" t="s">
        <v>128</v>
      </c>
      <c r="H135" t="s">
        <v>313</v>
      </c>
      <c r="I135" s="17">
        <v>220000000</v>
      </c>
      <c r="J135" t="s">
        <v>42</v>
      </c>
      <c r="K135" t="s">
        <v>67</v>
      </c>
      <c r="L135" t="s">
        <v>382</v>
      </c>
      <c r="M135" s="27">
        <v>45594</v>
      </c>
      <c r="N135" s="27">
        <v>45616</v>
      </c>
      <c r="O135" t="s">
        <v>31</v>
      </c>
      <c r="P135" t="s">
        <v>32</v>
      </c>
      <c r="Q135"/>
      <c r="R135"/>
      <c r="S135"/>
      <c r="T135"/>
      <c r="U135"/>
      <c r="V135" s="152"/>
    </row>
    <row r="136" spans="1:22" s="1" customFormat="1">
      <c r="A136">
        <v>135</v>
      </c>
      <c r="B136" t="s">
        <v>383</v>
      </c>
      <c r="C136">
        <v>2024</v>
      </c>
      <c r="D136" t="s">
        <v>384</v>
      </c>
      <c r="E136" t="s">
        <v>385</v>
      </c>
      <c r="F136" t="s">
        <v>48</v>
      </c>
      <c r="G136" t="s">
        <v>26</v>
      </c>
      <c r="H136" t="s">
        <v>91</v>
      </c>
      <c r="I136" s="17">
        <v>608284000</v>
      </c>
      <c r="J136" t="s">
        <v>28</v>
      </c>
      <c r="K136" t="s">
        <v>29</v>
      </c>
      <c r="L136" t="s">
        <v>55</v>
      </c>
      <c r="M136" s="27">
        <v>45597</v>
      </c>
      <c r="N136" s="27">
        <v>45628</v>
      </c>
      <c r="O136" t="s">
        <v>51</v>
      </c>
      <c r="P136" t="s">
        <v>32</v>
      </c>
      <c r="Q136"/>
      <c r="R136"/>
      <c r="S136"/>
      <c r="T136"/>
      <c r="U136"/>
      <c r="V136" s="152"/>
    </row>
    <row r="137" spans="1:22" s="1" customFormat="1">
      <c r="A137">
        <v>136</v>
      </c>
      <c r="B137" t="s">
        <v>386</v>
      </c>
      <c r="C137">
        <v>2024</v>
      </c>
      <c r="D137" t="s">
        <v>384</v>
      </c>
      <c r="E137" t="s">
        <v>387</v>
      </c>
      <c r="F137" t="s">
        <v>48</v>
      </c>
      <c r="G137" t="s">
        <v>128</v>
      </c>
      <c r="H137" t="s">
        <v>388</v>
      </c>
      <c r="I137" s="17">
        <v>513920000</v>
      </c>
      <c r="J137" t="s">
        <v>28</v>
      </c>
      <c r="K137" t="s">
        <v>29</v>
      </c>
      <c r="L137" t="s">
        <v>200</v>
      </c>
      <c r="M137" s="27">
        <v>45601</v>
      </c>
      <c r="N137" s="27">
        <v>45639</v>
      </c>
      <c r="O137" t="s">
        <v>69</v>
      </c>
      <c r="P137" t="s">
        <v>32</v>
      </c>
      <c r="Q137"/>
      <c r="R137"/>
      <c r="S137"/>
      <c r="T137"/>
      <c r="U137"/>
      <c r="V137" s="152"/>
    </row>
    <row r="138" spans="1:22" s="1" customFormat="1">
      <c r="A138">
        <v>137</v>
      </c>
      <c r="B138" t="s">
        <v>389</v>
      </c>
      <c r="C138">
        <v>2024</v>
      </c>
      <c r="D138" t="s">
        <v>384</v>
      </c>
      <c r="E138" t="s">
        <v>390</v>
      </c>
      <c r="F138" t="s">
        <v>25</v>
      </c>
      <c r="G138" t="s">
        <v>35</v>
      </c>
      <c r="H138" t="s">
        <v>41</v>
      </c>
      <c r="I138" s="17">
        <v>4286742054</v>
      </c>
      <c r="J138" t="s">
        <v>42</v>
      </c>
      <c r="K138" t="s">
        <v>67</v>
      </c>
      <c r="L138" t="s">
        <v>391</v>
      </c>
      <c r="M138" s="27">
        <v>45611</v>
      </c>
      <c r="N138" s="27">
        <v>45677</v>
      </c>
      <c r="O138" t="s">
        <v>51</v>
      </c>
      <c r="P138" t="s">
        <v>32</v>
      </c>
      <c r="Q138"/>
      <c r="R138"/>
      <c r="S138"/>
      <c r="T138"/>
      <c r="U138"/>
      <c r="V138" s="152"/>
    </row>
    <row r="139" spans="1:22" s="1" customFormat="1">
      <c r="A139">
        <v>138</v>
      </c>
      <c r="B139" t="s">
        <v>392</v>
      </c>
      <c r="C139">
        <v>2024</v>
      </c>
      <c r="D139" t="s">
        <v>384</v>
      </c>
      <c r="E139" t="s">
        <v>393</v>
      </c>
      <c r="F139" t="s">
        <v>25</v>
      </c>
      <c r="G139" t="s">
        <v>26</v>
      </c>
      <c r="H139" t="s">
        <v>91</v>
      </c>
      <c r="I139" s="17">
        <v>190400000</v>
      </c>
      <c r="J139" t="s">
        <v>58</v>
      </c>
      <c r="K139" t="s">
        <v>29</v>
      </c>
      <c r="L139" t="s">
        <v>394</v>
      </c>
      <c r="M139" s="27">
        <v>45614</v>
      </c>
      <c r="N139" s="27">
        <v>45646</v>
      </c>
      <c r="O139" t="s">
        <v>31</v>
      </c>
      <c r="P139" t="s">
        <v>32</v>
      </c>
      <c r="Q139"/>
      <c r="R139"/>
      <c r="S139"/>
      <c r="T139"/>
      <c r="U139"/>
      <c r="V139" s="152"/>
    </row>
    <row r="140" spans="1:22" s="1" customFormat="1">
      <c r="A140">
        <v>139</v>
      </c>
      <c r="B140" t="s">
        <v>395</v>
      </c>
      <c r="C140">
        <v>2024</v>
      </c>
      <c r="D140"/>
      <c r="E140" t="s">
        <v>396</v>
      </c>
      <c r="F140"/>
      <c r="G140"/>
      <c r="H140"/>
      <c r="I140" s="17">
        <v>0</v>
      </c>
      <c r="J140" t="s">
        <v>58</v>
      </c>
      <c r="K140" t="s">
        <v>397</v>
      </c>
      <c r="L140"/>
      <c r="M140"/>
      <c r="N140"/>
      <c r="O140" t="s">
        <v>31</v>
      </c>
      <c r="P140" t="s">
        <v>32</v>
      </c>
      <c r="Q140"/>
      <c r="R140"/>
      <c r="S140"/>
      <c r="T140"/>
      <c r="U140"/>
      <c r="V140" s="152"/>
    </row>
    <row r="141" spans="1:22" s="1" customFormat="1">
      <c r="A141">
        <v>140</v>
      </c>
      <c r="B141" t="s">
        <v>395</v>
      </c>
      <c r="C141">
        <v>2024</v>
      </c>
      <c r="D141"/>
      <c r="E141" t="s">
        <v>398</v>
      </c>
      <c r="F141"/>
      <c r="G141"/>
      <c r="H141"/>
      <c r="I141" s="17">
        <v>0</v>
      </c>
      <c r="J141" t="s">
        <v>42</v>
      </c>
      <c r="K141" t="s">
        <v>397</v>
      </c>
      <c r="L141"/>
      <c r="M141"/>
      <c r="N141"/>
      <c r="O141" t="s">
        <v>51</v>
      </c>
      <c r="P141" t="s">
        <v>32</v>
      </c>
      <c r="Q141"/>
      <c r="R141"/>
      <c r="S141"/>
      <c r="T141"/>
      <c r="U141"/>
      <c r="V141" s="152"/>
    </row>
    <row r="142" spans="1:22" s="1" customFormat="1">
      <c r="A142">
        <v>141</v>
      </c>
      <c r="B142" t="s">
        <v>395</v>
      </c>
      <c r="C142">
        <v>2024</v>
      </c>
      <c r="D142"/>
      <c r="E142" t="s">
        <v>399</v>
      </c>
      <c r="F142"/>
      <c r="G142"/>
      <c r="H142"/>
      <c r="I142" s="17">
        <v>0</v>
      </c>
      <c r="J142" t="s">
        <v>37</v>
      </c>
      <c r="K142" t="s">
        <v>397</v>
      </c>
      <c r="L142"/>
      <c r="M142"/>
      <c r="N142"/>
      <c r="O142" t="s">
        <v>45</v>
      </c>
      <c r="P142" t="s">
        <v>32</v>
      </c>
      <c r="Q142"/>
      <c r="R142"/>
      <c r="S142"/>
      <c r="T142"/>
      <c r="U142"/>
      <c r="V142" s="152"/>
    </row>
    <row r="143" spans="1:22" s="1" customFormat="1">
      <c r="A143">
        <v>142</v>
      </c>
      <c r="B143" t="s">
        <v>395</v>
      </c>
      <c r="C143">
        <v>2024</v>
      </c>
      <c r="D143"/>
      <c r="E143" t="s">
        <v>400</v>
      </c>
      <c r="F143"/>
      <c r="G143"/>
      <c r="H143"/>
      <c r="I143" s="17">
        <v>0</v>
      </c>
      <c r="J143" t="s">
        <v>37</v>
      </c>
      <c r="K143" t="s">
        <v>397</v>
      </c>
      <c r="L143"/>
      <c r="M143"/>
      <c r="N143"/>
      <c r="O143" t="s">
        <v>45</v>
      </c>
      <c r="P143" t="s">
        <v>32</v>
      </c>
      <c r="Q143"/>
      <c r="R143"/>
      <c r="S143"/>
      <c r="T143"/>
      <c r="U143"/>
      <c r="V143" s="152"/>
    </row>
    <row r="144" spans="1:22" s="1" customFormat="1">
      <c r="A144">
        <v>143</v>
      </c>
      <c r="B144" s="141" t="s">
        <v>401</v>
      </c>
      <c r="C144">
        <v>2024</v>
      </c>
      <c r="D144" t="s">
        <v>384</v>
      </c>
      <c r="E144" t="s">
        <v>402</v>
      </c>
      <c r="F144" t="s">
        <v>48</v>
      </c>
      <c r="G144" t="s">
        <v>26</v>
      </c>
      <c r="H144" t="s">
        <v>87</v>
      </c>
      <c r="I144" s="17">
        <v>19300000</v>
      </c>
      <c r="J144" t="s">
        <v>58</v>
      </c>
      <c r="K144" t="s">
        <v>29</v>
      </c>
      <c r="L144" t="s">
        <v>38</v>
      </c>
      <c r="M144" s="27">
        <v>45618</v>
      </c>
      <c r="N144" s="27">
        <v>45613</v>
      </c>
      <c r="O144" t="s">
        <v>31</v>
      </c>
      <c r="P144" t="s">
        <v>32</v>
      </c>
      <c r="Q144"/>
      <c r="R144"/>
      <c r="S144"/>
      <c r="T144"/>
      <c r="U144"/>
      <c r="V144" s="152"/>
    </row>
    <row r="145" spans="1:22" s="1" customFormat="1">
      <c r="A145">
        <v>144</v>
      </c>
      <c r="B145" t="s">
        <v>403</v>
      </c>
      <c r="C145">
        <v>2024</v>
      </c>
      <c r="D145" t="s">
        <v>384</v>
      </c>
      <c r="E145" t="s">
        <v>404</v>
      </c>
      <c r="F145" t="s">
        <v>25</v>
      </c>
      <c r="G145" t="s">
        <v>26</v>
      </c>
      <c r="H145" t="s">
        <v>27</v>
      </c>
      <c r="I145" s="17">
        <v>183580000</v>
      </c>
      <c r="J145" t="s">
        <v>42</v>
      </c>
      <c r="K145" t="s">
        <v>29</v>
      </c>
      <c r="L145" t="s">
        <v>405</v>
      </c>
      <c r="M145" s="27">
        <v>45616</v>
      </c>
      <c r="N145" t="s">
        <v>406</v>
      </c>
      <c r="O145" t="s">
        <v>31</v>
      </c>
      <c r="P145" t="s">
        <v>32</v>
      </c>
      <c r="Q145"/>
      <c r="R145"/>
      <c r="S145"/>
      <c r="T145"/>
      <c r="U145"/>
      <c r="V145" s="152"/>
    </row>
    <row r="146" spans="1:22" s="1" customFormat="1">
      <c r="A146">
        <v>145</v>
      </c>
      <c r="B146" t="s">
        <v>407</v>
      </c>
      <c r="C146">
        <v>2024</v>
      </c>
      <c r="D146" t="s">
        <v>408</v>
      </c>
      <c r="E146" s="141" t="s">
        <v>409</v>
      </c>
      <c r="F146" t="s">
        <v>25</v>
      </c>
      <c r="G146" t="s">
        <v>26</v>
      </c>
      <c r="H146" t="s">
        <v>112</v>
      </c>
      <c r="I146" s="17"/>
      <c r="J146" t="s">
        <v>37</v>
      </c>
      <c r="K146" t="s">
        <v>29</v>
      </c>
      <c r="L146" t="s">
        <v>410</v>
      </c>
      <c r="M146" s="27">
        <v>45618</v>
      </c>
      <c r="N146" s="27">
        <v>45607</v>
      </c>
      <c r="O146" t="s">
        <v>31</v>
      </c>
      <c r="P146" t="s">
        <v>32</v>
      </c>
      <c r="Q146"/>
      <c r="R146"/>
      <c r="S146"/>
      <c r="T146"/>
      <c r="U146"/>
      <c r="V146" s="152"/>
    </row>
    <row r="147" spans="1:22" s="1" customFormat="1">
      <c r="A147">
        <v>146</v>
      </c>
      <c r="B147" s="141" t="s">
        <v>411</v>
      </c>
      <c r="C147">
        <v>2024</v>
      </c>
      <c r="D147" t="s">
        <v>384</v>
      </c>
      <c r="E147" t="s">
        <v>412</v>
      </c>
      <c r="F147" t="s">
        <v>48</v>
      </c>
      <c r="G147" t="s">
        <v>128</v>
      </c>
      <c r="H147" t="s">
        <v>322</v>
      </c>
      <c r="I147" s="17">
        <v>237000000</v>
      </c>
      <c r="J147" t="s">
        <v>28</v>
      </c>
      <c r="K147" t="s">
        <v>29</v>
      </c>
      <c r="L147" t="s">
        <v>200</v>
      </c>
      <c r="M147"/>
      <c r="N147" t="s">
        <v>413</v>
      </c>
      <c r="O147" t="s">
        <v>414</v>
      </c>
      <c r="P147" t="s">
        <v>32</v>
      </c>
      <c r="Q147"/>
      <c r="R147"/>
      <c r="S147"/>
      <c r="T147"/>
      <c r="U147"/>
      <c r="V147" s="152"/>
    </row>
    <row r="148" spans="1:22" s="1" customFormat="1">
      <c r="A148">
        <v>147</v>
      </c>
      <c r="B148" t="s">
        <v>415</v>
      </c>
      <c r="C148">
        <v>2024</v>
      </c>
      <c r="D148" t="s">
        <v>408</v>
      </c>
      <c r="E148" t="s">
        <v>416</v>
      </c>
      <c r="F148" t="s">
        <v>48</v>
      </c>
      <c r="G148" t="s">
        <v>128</v>
      </c>
      <c r="H148" t="s">
        <v>374</v>
      </c>
      <c r="I148" s="17">
        <v>97800000</v>
      </c>
      <c r="J148" t="s">
        <v>28</v>
      </c>
      <c r="K148" t="s">
        <v>29</v>
      </c>
      <c r="L148" t="s">
        <v>200</v>
      </c>
      <c r="M148" s="27">
        <v>45631</v>
      </c>
      <c r="N148" s="27">
        <v>45674</v>
      </c>
      <c r="O148" t="s">
        <v>69</v>
      </c>
      <c r="P148" t="s">
        <v>32</v>
      </c>
      <c r="Q148"/>
      <c r="R148"/>
      <c r="S148"/>
      <c r="T148"/>
      <c r="U148" t="s">
        <v>417</v>
      </c>
      <c r="V148" s="152"/>
    </row>
    <row r="149" spans="1:22" s="1" customFormat="1">
      <c r="A149">
        <v>148</v>
      </c>
      <c r="B149" t="s">
        <v>418</v>
      </c>
      <c r="C149">
        <v>2024</v>
      </c>
      <c r="D149" t="s">
        <v>408</v>
      </c>
      <c r="E149" t="s">
        <v>419</v>
      </c>
      <c r="F149" t="s">
        <v>25</v>
      </c>
      <c r="G149" t="s">
        <v>26</v>
      </c>
      <c r="H149" t="s">
        <v>54</v>
      </c>
      <c r="I149" s="17">
        <v>28189435484</v>
      </c>
      <c r="J149" t="s">
        <v>420</v>
      </c>
      <c r="K149" t="s">
        <v>67</v>
      </c>
      <c r="L149" t="s">
        <v>253</v>
      </c>
      <c r="M149" s="2">
        <v>45383</v>
      </c>
      <c r="N149" s="2">
        <v>45663</v>
      </c>
      <c r="O149" t="s">
        <v>51</v>
      </c>
      <c r="P149" t="s">
        <v>32</v>
      </c>
      <c r="Q149"/>
      <c r="R149"/>
      <c r="S149"/>
      <c r="T149"/>
      <c r="U149"/>
      <c r="V149" s="152"/>
    </row>
    <row r="150" spans="1:22" s="1" customFormat="1">
      <c r="A150">
        <v>149</v>
      </c>
      <c r="B150" t="s">
        <v>386</v>
      </c>
      <c r="C150">
        <v>2024</v>
      </c>
      <c r="D150" t="s">
        <v>408</v>
      </c>
      <c r="E150" t="s">
        <v>387</v>
      </c>
      <c r="F150" t="s">
        <v>25</v>
      </c>
      <c r="G150" t="s">
        <v>421</v>
      </c>
      <c r="H150" t="s">
        <v>422</v>
      </c>
      <c r="I150" s="17">
        <v>513920000</v>
      </c>
      <c r="J150" t="s">
        <v>28</v>
      </c>
      <c r="K150" t="s">
        <v>29</v>
      </c>
      <c r="L150" t="s">
        <v>200</v>
      </c>
      <c r="M150" s="2">
        <v>45597</v>
      </c>
      <c r="N150" s="2">
        <v>45639</v>
      </c>
      <c r="O150" t="s">
        <v>69</v>
      </c>
      <c r="P150" t="s">
        <v>32</v>
      </c>
      <c r="Q150"/>
      <c r="R150"/>
      <c r="S150"/>
      <c r="T150"/>
      <c r="U150"/>
      <c r="V150" s="152"/>
    </row>
    <row r="151" spans="1:22" s="1" customFormat="1">
      <c r="A151">
        <v>150</v>
      </c>
      <c r="B151" t="s">
        <v>389</v>
      </c>
      <c r="C151">
        <v>2024</v>
      </c>
      <c r="D151" t="s">
        <v>408</v>
      </c>
      <c r="E151" t="s">
        <v>390</v>
      </c>
      <c r="F151" t="s">
        <v>25</v>
      </c>
      <c r="G151" t="s">
        <v>423</v>
      </c>
      <c r="H151" t="s">
        <v>41</v>
      </c>
      <c r="I151" s="17">
        <v>4068080609</v>
      </c>
      <c r="J151" t="s">
        <v>424</v>
      </c>
      <c r="K151" t="s">
        <v>67</v>
      </c>
      <c r="L151" t="s">
        <v>391</v>
      </c>
      <c r="M151" s="2">
        <v>45626</v>
      </c>
      <c r="N151" s="2">
        <v>45677</v>
      </c>
      <c r="O151" t="s">
        <v>51</v>
      </c>
      <c r="P151" t="s">
        <v>32</v>
      </c>
      <c r="Q151"/>
      <c r="R151"/>
      <c r="S151"/>
      <c r="T151"/>
      <c r="U151"/>
      <c r="V151" s="152"/>
    </row>
    <row r="152" spans="1:22" s="1" customFormat="1">
      <c r="A152">
        <v>151</v>
      </c>
      <c r="B152" t="s">
        <v>425</v>
      </c>
      <c r="C152">
        <v>2024</v>
      </c>
      <c r="D152" t="s">
        <v>408</v>
      </c>
      <c r="E152" t="s">
        <v>426</v>
      </c>
      <c r="F152" t="s">
        <v>25</v>
      </c>
      <c r="G152" t="s">
        <v>26</v>
      </c>
      <c r="H152" t="s">
        <v>27</v>
      </c>
      <c r="I152" s="17">
        <v>150000000</v>
      </c>
      <c r="J152" t="s">
        <v>58</v>
      </c>
      <c r="K152" t="s">
        <v>29</v>
      </c>
      <c r="L152" t="s">
        <v>50</v>
      </c>
      <c r="M152" s="56" t="s">
        <v>427</v>
      </c>
      <c r="N152" s="2">
        <v>45658</v>
      </c>
      <c r="O152" t="s">
        <v>31</v>
      </c>
      <c r="P152" t="s">
        <v>32</v>
      </c>
      <c r="Q152"/>
      <c r="R152"/>
      <c r="S152"/>
      <c r="T152"/>
      <c r="U152"/>
      <c r="V152" s="152"/>
    </row>
    <row r="153" spans="1:22" s="1" customFormat="1">
      <c r="A153">
        <v>152</v>
      </c>
      <c r="B153" t="s">
        <v>428</v>
      </c>
      <c r="C153">
        <v>2024</v>
      </c>
      <c r="D153" t="s">
        <v>408</v>
      </c>
      <c r="E153" t="s">
        <v>429</v>
      </c>
      <c r="F153" t="s">
        <v>25</v>
      </c>
      <c r="G153" t="s">
        <v>26</v>
      </c>
      <c r="H153" t="s">
        <v>112</v>
      </c>
      <c r="I153" s="17">
        <v>256400000</v>
      </c>
      <c r="J153" t="s">
        <v>58</v>
      </c>
      <c r="K153" t="s">
        <v>29</v>
      </c>
      <c r="L153" t="s">
        <v>430</v>
      </c>
      <c r="M153" s="27">
        <v>45633</v>
      </c>
      <c r="N153" s="27">
        <v>45681</v>
      </c>
      <c r="O153" t="s">
        <v>31</v>
      </c>
      <c r="P153" t="s">
        <v>32</v>
      </c>
      <c r="Q153"/>
      <c r="R153"/>
      <c r="S153"/>
      <c r="T153"/>
      <c r="U153"/>
      <c r="V153" s="152"/>
    </row>
    <row r="154" spans="1:22" s="1" customFormat="1">
      <c r="A154">
        <v>153</v>
      </c>
      <c r="B154" t="s">
        <v>431</v>
      </c>
      <c r="C154">
        <v>2025</v>
      </c>
      <c r="D154" t="s">
        <v>23</v>
      </c>
      <c r="E154" t="s">
        <v>432</v>
      </c>
      <c r="F154" t="s">
        <v>25</v>
      </c>
      <c r="G154" t="s">
        <v>128</v>
      </c>
      <c r="H154" t="s">
        <v>433</v>
      </c>
      <c r="I154" s="17">
        <v>24031205935</v>
      </c>
      <c r="J154"/>
      <c r="K154" t="s">
        <v>67</v>
      </c>
      <c r="L154" t="s">
        <v>434</v>
      </c>
      <c r="M154" s="2">
        <v>45658</v>
      </c>
      <c r="N154" s="2">
        <v>45709</v>
      </c>
      <c r="O154" t="s">
        <v>45</v>
      </c>
      <c r="P154" t="s">
        <v>32</v>
      </c>
      <c r="Q154"/>
      <c r="R154"/>
      <c r="S154"/>
      <c r="T154"/>
      <c r="U154"/>
      <c r="V154" s="152"/>
    </row>
    <row r="155" spans="1:22" s="1" customFormat="1">
      <c r="A155">
        <v>154</v>
      </c>
      <c r="B155" s="142" t="s">
        <v>435</v>
      </c>
      <c r="C155">
        <v>2025</v>
      </c>
      <c r="D155" t="s">
        <v>23</v>
      </c>
      <c r="E155" t="s">
        <v>436</v>
      </c>
      <c r="F155" t="s">
        <v>48</v>
      </c>
      <c r="G155" t="s">
        <v>128</v>
      </c>
      <c r="H155" t="s">
        <v>437</v>
      </c>
      <c r="I155" s="143">
        <v>521840000</v>
      </c>
      <c r="J155" t="s">
        <v>28</v>
      </c>
      <c r="K155" t="s">
        <v>29</v>
      </c>
      <c r="L155" t="s">
        <v>235</v>
      </c>
      <c r="M155" s="27">
        <v>45658</v>
      </c>
      <c r="N155" s="27">
        <v>45705</v>
      </c>
      <c r="O155" t="s">
        <v>69</v>
      </c>
      <c r="P155" t="s">
        <v>32</v>
      </c>
      <c r="Q155"/>
      <c r="R155"/>
      <c r="S155"/>
      <c r="T155"/>
      <c r="U155" t="s">
        <v>438</v>
      </c>
      <c r="V155" s="152"/>
    </row>
    <row r="156" spans="1:22" s="1" customFormat="1">
      <c r="A156">
        <v>155</v>
      </c>
      <c r="B156" t="s">
        <v>439</v>
      </c>
      <c r="C156">
        <v>2025</v>
      </c>
      <c r="D156" t="s">
        <v>23</v>
      </c>
      <c r="E156" t="s">
        <v>440</v>
      </c>
      <c r="F156" t="s">
        <v>48</v>
      </c>
      <c r="G156" t="s">
        <v>423</v>
      </c>
      <c r="H156" t="s">
        <v>123</v>
      </c>
      <c r="I156" s="17">
        <v>379283036</v>
      </c>
      <c r="J156" t="s">
        <v>58</v>
      </c>
      <c r="K156" t="s">
        <v>29</v>
      </c>
      <c r="L156" t="s">
        <v>346</v>
      </c>
      <c r="M156" s="27">
        <v>45658</v>
      </c>
      <c r="N156" s="27">
        <v>45702</v>
      </c>
      <c r="O156" t="s">
        <v>51</v>
      </c>
      <c r="P156" t="s">
        <v>32</v>
      </c>
      <c r="Q156"/>
      <c r="R156"/>
      <c r="S156"/>
      <c r="T156"/>
      <c r="U156"/>
      <c r="V156" s="152"/>
    </row>
    <row r="157" spans="1:22" s="1" customFormat="1">
      <c r="A157">
        <v>156</v>
      </c>
      <c r="B157" t="s">
        <v>441</v>
      </c>
      <c r="C157">
        <v>2025</v>
      </c>
      <c r="D157" t="s">
        <v>23</v>
      </c>
      <c r="E157" t="s">
        <v>442</v>
      </c>
      <c r="F157" t="s">
        <v>25</v>
      </c>
      <c r="G157" t="s">
        <v>443</v>
      </c>
      <c r="H157" t="s">
        <v>27</v>
      </c>
      <c r="I157" s="17">
        <v>11790144348</v>
      </c>
      <c r="J157" t="s">
        <v>58</v>
      </c>
      <c r="K157" t="s">
        <v>67</v>
      </c>
      <c r="L157" t="s">
        <v>444</v>
      </c>
      <c r="M157" s="27">
        <v>45659</v>
      </c>
      <c r="N157" t="s">
        <v>445</v>
      </c>
      <c r="O157" t="s">
        <v>31</v>
      </c>
      <c r="P157" t="s">
        <v>32</v>
      </c>
      <c r="Q157"/>
      <c r="R157"/>
      <c r="S157"/>
      <c r="T157"/>
      <c r="U157" t="s">
        <v>446</v>
      </c>
      <c r="V157" s="152"/>
    </row>
    <row r="158" spans="1:22" s="1" customFormat="1">
      <c r="A158">
        <v>157</v>
      </c>
      <c r="B158" t="s">
        <v>447</v>
      </c>
      <c r="C158">
        <v>2025</v>
      </c>
      <c r="D158" t="s">
        <v>23</v>
      </c>
      <c r="E158" t="s">
        <v>448</v>
      </c>
      <c r="F158" t="s">
        <v>25</v>
      </c>
      <c r="G158" t="s">
        <v>443</v>
      </c>
      <c r="H158" t="s">
        <v>27</v>
      </c>
      <c r="I158" s="17">
        <v>7240153998</v>
      </c>
      <c r="J158" t="s">
        <v>58</v>
      </c>
      <c r="K158" t="s">
        <v>67</v>
      </c>
      <c r="L158" t="s">
        <v>61</v>
      </c>
      <c r="M158" s="27">
        <v>45659</v>
      </c>
      <c r="N158" s="27">
        <v>45691</v>
      </c>
      <c r="O158" t="s">
        <v>51</v>
      </c>
      <c r="P158" t="s">
        <v>32</v>
      </c>
      <c r="Q158"/>
      <c r="R158"/>
      <c r="S158"/>
      <c r="T158"/>
      <c r="U158"/>
      <c r="V158" s="152"/>
    </row>
    <row r="159" spans="1:22" s="1" customFormat="1">
      <c r="A159">
        <v>158</v>
      </c>
      <c r="B159" t="s">
        <v>449</v>
      </c>
      <c r="C159">
        <v>2025</v>
      </c>
      <c r="D159" t="s">
        <v>23</v>
      </c>
      <c r="E159" t="s">
        <v>450</v>
      </c>
      <c r="F159" t="s">
        <v>25</v>
      </c>
      <c r="G159" t="s">
        <v>443</v>
      </c>
      <c r="H159" t="s">
        <v>91</v>
      </c>
      <c r="I159" s="17">
        <v>3351133148</v>
      </c>
      <c r="J159" t="s">
        <v>58</v>
      </c>
      <c r="K159" t="s">
        <v>67</v>
      </c>
      <c r="L159" t="s">
        <v>61</v>
      </c>
      <c r="M159" s="27">
        <v>45658</v>
      </c>
      <c r="N159" s="27">
        <v>45716</v>
      </c>
      <c r="O159" t="s">
        <v>69</v>
      </c>
      <c r="P159" t="s">
        <v>32</v>
      </c>
      <c r="Q159"/>
      <c r="R159"/>
      <c r="S159"/>
      <c r="T159"/>
      <c r="U159"/>
      <c r="V159" s="152"/>
    </row>
    <row r="160" spans="1:22" s="1" customFormat="1">
      <c r="A160">
        <v>159</v>
      </c>
      <c r="B160" t="s">
        <v>451</v>
      </c>
      <c r="C160">
        <v>2025</v>
      </c>
      <c r="D160" t="s">
        <v>23</v>
      </c>
      <c r="E160" t="s">
        <v>452</v>
      </c>
      <c r="F160" t="s">
        <v>25</v>
      </c>
      <c r="G160" t="s">
        <v>443</v>
      </c>
      <c r="H160" t="s">
        <v>87</v>
      </c>
      <c r="I160" s="17">
        <v>149000000</v>
      </c>
      <c r="J160" t="s">
        <v>28</v>
      </c>
      <c r="K160" t="s">
        <v>29</v>
      </c>
      <c r="L160" t="s">
        <v>235</v>
      </c>
      <c r="M160" s="27">
        <v>45659</v>
      </c>
      <c r="N160" s="27">
        <v>45709</v>
      </c>
      <c r="O160" t="s">
        <v>69</v>
      </c>
      <c r="P160" t="s">
        <v>32</v>
      </c>
      <c r="Q160"/>
      <c r="R160"/>
      <c r="S160"/>
      <c r="T160"/>
      <c r="U160"/>
      <c r="V160" s="152"/>
    </row>
    <row r="161" spans="1:22" s="1" customFormat="1">
      <c r="A161">
        <v>160</v>
      </c>
      <c r="B161" t="s">
        <v>453</v>
      </c>
      <c r="C161">
        <v>2025</v>
      </c>
      <c r="D161" t="s">
        <v>23</v>
      </c>
      <c r="E161" t="s">
        <v>454</v>
      </c>
      <c r="F161" t="s">
        <v>25</v>
      </c>
      <c r="G161" t="s">
        <v>443</v>
      </c>
      <c r="H161" t="s">
        <v>112</v>
      </c>
      <c r="I161" s="17">
        <v>67800000</v>
      </c>
      <c r="J161" t="s">
        <v>28</v>
      </c>
      <c r="K161" t="s">
        <v>29</v>
      </c>
      <c r="L161" t="s">
        <v>200</v>
      </c>
      <c r="M161" s="27">
        <v>45660</v>
      </c>
      <c r="N161" s="27">
        <v>45688</v>
      </c>
      <c r="O161" t="s">
        <v>31</v>
      </c>
      <c r="P161" t="s">
        <v>32</v>
      </c>
      <c r="Q161"/>
      <c r="R161"/>
      <c r="S161"/>
      <c r="T161"/>
      <c r="U161"/>
      <c r="V161" s="152"/>
    </row>
    <row r="162" spans="1:22" s="1" customFormat="1">
      <c r="A162">
        <v>161</v>
      </c>
      <c r="B162" t="s">
        <v>455</v>
      </c>
      <c r="C162">
        <v>2025</v>
      </c>
      <c r="D162" t="s">
        <v>23</v>
      </c>
      <c r="E162" t="s">
        <v>456</v>
      </c>
      <c r="F162" t="s">
        <v>25</v>
      </c>
      <c r="G162" t="s">
        <v>423</v>
      </c>
      <c r="H162" t="s">
        <v>49</v>
      </c>
      <c r="I162" s="17">
        <v>829639004</v>
      </c>
      <c r="J162" t="s">
        <v>28</v>
      </c>
      <c r="K162" t="s">
        <v>67</v>
      </c>
      <c r="L162" t="s">
        <v>142</v>
      </c>
      <c r="M162" s="144">
        <v>45653</v>
      </c>
      <c r="N162" s="27">
        <v>45686</v>
      </c>
      <c r="O162" t="s">
        <v>51</v>
      </c>
      <c r="P162" t="s">
        <v>32</v>
      </c>
      <c r="Q162"/>
      <c r="R162"/>
      <c r="S162"/>
      <c r="T162"/>
      <c r="U162"/>
      <c r="V162" s="152"/>
    </row>
    <row r="163" spans="1:22" s="1" customFormat="1">
      <c r="A163">
        <v>162</v>
      </c>
      <c r="B163" t="s">
        <v>457</v>
      </c>
      <c r="C163">
        <v>2025</v>
      </c>
      <c r="D163" t="s">
        <v>23</v>
      </c>
      <c r="E163" t="s">
        <v>458</v>
      </c>
      <c r="F163" t="s">
        <v>48</v>
      </c>
      <c r="G163" t="s">
        <v>423</v>
      </c>
      <c r="H163" t="s">
        <v>49</v>
      </c>
      <c r="I163" s="17">
        <v>99500000</v>
      </c>
      <c r="J163" t="s">
        <v>28</v>
      </c>
      <c r="K163" t="s">
        <v>29</v>
      </c>
      <c r="L163" t="s">
        <v>459</v>
      </c>
      <c r="M163" s="27">
        <v>45646</v>
      </c>
      <c r="N163" s="27">
        <v>45695</v>
      </c>
      <c r="O163" t="s">
        <v>31</v>
      </c>
      <c r="P163" t="s">
        <v>32</v>
      </c>
      <c r="Q163"/>
      <c r="R163"/>
      <c r="S163" t="s">
        <v>460</v>
      </c>
      <c r="T163"/>
      <c r="U163" t="s">
        <v>461</v>
      </c>
      <c r="V163" s="152"/>
    </row>
    <row r="164" spans="1:22" s="1" customFormat="1">
      <c r="A164">
        <v>163</v>
      </c>
      <c r="B164" t="s">
        <v>462</v>
      </c>
      <c r="C164">
        <v>2025</v>
      </c>
      <c r="D164" t="s">
        <v>23</v>
      </c>
      <c r="E164" t="s">
        <v>463</v>
      </c>
      <c r="F164" t="s">
        <v>48</v>
      </c>
      <c r="G164" t="s">
        <v>128</v>
      </c>
      <c r="H164" t="s">
        <v>374</v>
      </c>
      <c r="I164" s="17">
        <v>9009000</v>
      </c>
      <c r="J164" t="s">
        <v>58</v>
      </c>
      <c r="K164" t="s">
        <v>29</v>
      </c>
      <c r="L164" t="s">
        <v>444</v>
      </c>
      <c r="M164" s="27">
        <v>45642</v>
      </c>
      <c r="N164" s="27">
        <v>45691</v>
      </c>
      <c r="O164" t="s">
        <v>69</v>
      </c>
      <c r="P164" t="s">
        <v>464</v>
      </c>
      <c r="Q164"/>
      <c r="R164"/>
      <c r="S164"/>
      <c r="T164"/>
      <c r="U164" t="s">
        <v>465</v>
      </c>
      <c r="V164" s="152"/>
    </row>
    <row r="165" spans="1:22" s="1" customFormat="1">
      <c r="A165">
        <v>164</v>
      </c>
      <c r="B165" t="s">
        <v>466</v>
      </c>
      <c r="C165">
        <v>2025</v>
      </c>
      <c r="D165" t="s">
        <v>23</v>
      </c>
      <c r="E165" t="s">
        <v>467</v>
      </c>
      <c r="F165" t="s">
        <v>25</v>
      </c>
      <c r="G165" t="s">
        <v>423</v>
      </c>
      <c r="H165" t="s">
        <v>41</v>
      </c>
      <c r="I165" s="17">
        <v>491520000</v>
      </c>
      <c r="J165" t="s">
        <v>58</v>
      </c>
      <c r="K165" t="s">
        <v>29</v>
      </c>
      <c r="L165" t="s">
        <v>468</v>
      </c>
      <c r="M165" s="27">
        <v>45665</v>
      </c>
      <c r="N165" s="27">
        <v>45702</v>
      </c>
      <c r="O165" t="s">
        <v>31</v>
      </c>
      <c r="P165" t="s">
        <v>32</v>
      </c>
      <c r="Q165"/>
      <c r="R165"/>
      <c r="S165"/>
      <c r="T165"/>
      <c r="U165"/>
      <c r="V165" s="152"/>
    </row>
    <row r="166" spans="1:22" s="1" customFormat="1">
      <c r="A166">
        <v>165</v>
      </c>
      <c r="B166" t="s">
        <v>469</v>
      </c>
      <c r="C166">
        <v>2025</v>
      </c>
      <c r="D166" t="s">
        <v>23</v>
      </c>
      <c r="E166" t="s">
        <v>470</v>
      </c>
      <c r="F166" t="s">
        <v>48</v>
      </c>
      <c r="G166" t="s">
        <v>421</v>
      </c>
      <c r="H166" t="s">
        <v>252</v>
      </c>
      <c r="I166" s="143">
        <v>89100000</v>
      </c>
      <c r="J166" t="s">
        <v>42</v>
      </c>
      <c r="K166" t="s">
        <v>29</v>
      </c>
      <c r="L166" t="s">
        <v>405</v>
      </c>
      <c r="M166" s="27">
        <v>45670</v>
      </c>
      <c r="N166" s="27">
        <v>45695</v>
      </c>
      <c r="O166" t="s">
        <v>31</v>
      </c>
      <c r="P166" t="s">
        <v>32</v>
      </c>
      <c r="Q166"/>
      <c r="R166"/>
      <c r="S166"/>
      <c r="T166"/>
      <c r="U166"/>
      <c r="V166" s="152"/>
    </row>
    <row r="167" spans="1:22" s="1" customFormat="1">
      <c r="A167">
        <v>166</v>
      </c>
      <c r="B167" t="s">
        <v>471</v>
      </c>
      <c r="C167">
        <v>2025</v>
      </c>
      <c r="D167" t="s">
        <v>23</v>
      </c>
      <c r="E167" t="s">
        <v>472</v>
      </c>
      <c r="F167" t="s">
        <v>48</v>
      </c>
      <c r="G167" t="s">
        <v>421</v>
      </c>
      <c r="H167" t="s">
        <v>252</v>
      </c>
      <c r="I167" s="17">
        <v>108000000</v>
      </c>
      <c r="J167" t="s">
        <v>58</v>
      </c>
      <c r="K167" t="s">
        <v>29</v>
      </c>
      <c r="L167" t="s">
        <v>50</v>
      </c>
      <c r="M167" s="27">
        <v>45670</v>
      </c>
      <c r="N167" s="27">
        <v>45715</v>
      </c>
      <c r="O167" t="s">
        <v>31</v>
      </c>
      <c r="P167" t="s">
        <v>32</v>
      </c>
      <c r="Q167"/>
      <c r="R167"/>
      <c r="S167"/>
      <c r="T167"/>
      <c r="U167"/>
      <c r="V167" s="152"/>
    </row>
    <row r="168" spans="1:22" s="1" customFormat="1">
      <c r="A168">
        <v>167</v>
      </c>
      <c r="B168" t="s">
        <v>473</v>
      </c>
      <c r="C168">
        <v>2025</v>
      </c>
      <c r="D168" t="s">
        <v>23</v>
      </c>
      <c r="E168" t="s">
        <v>474</v>
      </c>
      <c r="F168" t="s">
        <v>48</v>
      </c>
      <c r="G168" t="s">
        <v>421</v>
      </c>
      <c r="H168" t="s">
        <v>87</v>
      </c>
      <c r="I168" s="143">
        <v>80000000</v>
      </c>
      <c r="J168" t="s">
        <v>58</v>
      </c>
      <c r="K168" t="s">
        <v>29</v>
      </c>
      <c r="L168" t="s">
        <v>301</v>
      </c>
      <c r="M168" s="27">
        <v>45670</v>
      </c>
      <c r="N168" s="27">
        <v>45707</v>
      </c>
      <c r="O168" t="s">
        <v>69</v>
      </c>
      <c r="P168" t="s">
        <v>32</v>
      </c>
      <c r="Q168"/>
      <c r="R168"/>
      <c r="S168"/>
      <c r="T168"/>
      <c r="U168"/>
      <c r="V168" s="152"/>
    </row>
    <row r="169" spans="1:22" s="1" customFormat="1">
      <c r="A169">
        <v>168</v>
      </c>
      <c r="B169" t="s">
        <v>475</v>
      </c>
      <c r="C169">
        <v>2025</v>
      </c>
      <c r="D169" t="s">
        <v>23</v>
      </c>
      <c r="E169" t="s">
        <v>476</v>
      </c>
      <c r="F169" t="s">
        <v>48</v>
      </c>
      <c r="G169" t="s">
        <v>421</v>
      </c>
      <c r="H169" t="s">
        <v>36</v>
      </c>
      <c r="I169" s="17">
        <v>148200000</v>
      </c>
      <c r="J169" t="s">
        <v>58</v>
      </c>
      <c r="K169" t="s">
        <v>29</v>
      </c>
      <c r="L169" t="s">
        <v>477</v>
      </c>
      <c r="M169" s="27">
        <v>45670</v>
      </c>
      <c r="N169" s="27">
        <v>45705</v>
      </c>
      <c r="O169" t="s">
        <v>31</v>
      </c>
      <c r="P169" t="s">
        <v>32</v>
      </c>
      <c r="Q169"/>
      <c r="R169"/>
      <c r="S169"/>
      <c r="T169"/>
      <c r="U169"/>
      <c r="V169" s="152"/>
    </row>
    <row r="170" spans="1:22" s="1" customFormat="1">
      <c r="A170">
        <v>169</v>
      </c>
      <c r="B170" t="s">
        <v>478</v>
      </c>
      <c r="C170">
        <v>2025</v>
      </c>
      <c r="D170" t="s">
        <v>23</v>
      </c>
      <c r="E170" t="s">
        <v>479</v>
      </c>
      <c r="F170" t="s">
        <v>25</v>
      </c>
      <c r="G170" t="s">
        <v>443</v>
      </c>
      <c r="H170" t="s">
        <v>123</v>
      </c>
      <c r="I170" s="17">
        <v>1792298000</v>
      </c>
      <c r="J170" t="s">
        <v>28</v>
      </c>
      <c r="K170" t="s">
        <v>29</v>
      </c>
      <c r="L170" t="s">
        <v>235</v>
      </c>
      <c r="M170" s="27">
        <v>45659</v>
      </c>
      <c r="N170" s="27">
        <v>45687</v>
      </c>
      <c r="O170" t="s">
        <v>31</v>
      </c>
      <c r="P170" t="s">
        <v>32</v>
      </c>
      <c r="Q170"/>
      <c r="R170"/>
      <c r="S170"/>
      <c r="T170"/>
      <c r="U170"/>
      <c r="V170" s="152"/>
    </row>
    <row r="171" spans="1:22" s="1" customFormat="1">
      <c r="A171">
        <v>170</v>
      </c>
      <c r="B171" s="45" t="s">
        <v>480</v>
      </c>
      <c r="C171">
        <v>2025</v>
      </c>
      <c r="D171" t="s">
        <v>23</v>
      </c>
      <c r="E171" t="s">
        <v>481</v>
      </c>
      <c r="F171" t="s">
        <v>48</v>
      </c>
      <c r="G171" t="s">
        <v>421</v>
      </c>
      <c r="H171" t="s">
        <v>252</v>
      </c>
      <c r="I171" s="17">
        <v>142980000</v>
      </c>
      <c r="J171" t="s">
        <v>58</v>
      </c>
      <c r="K171" t="s">
        <v>29</v>
      </c>
      <c r="L171" t="s">
        <v>394</v>
      </c>
      <c r="M171" s="27">
        <v>45678</v>
      </c>
      <c r="N171" s="27">
        <v>45713</v>
      </c>
      <c r="O171" t="s">
        <v>69</v>
      </c>
      <c r="P171" t="s">
        <v>32</v>
      </c>
      <c r="Q171"/>
      <c r="R171"/>
      <c r="S171"/>
      <c r="T171"/>
      <c r="U171" t="s">
        <v>482</v>
      </c>
      <c r="V171" s="152"/>
    </row>
    <row r="172" spans="1:22" s="1" customFormat="1">
      <c r="A172">
        <v>171</v>
      </c>
      <c r="B172" s="141" t="s">
        <v>483</v>
      </c>
      <c r="C172">
        <v>2025</v>
      </c>
      <c r="D172" t="s">
        <v>23</v>
      </c>
      <c r="E172" s="141" t="s">
        <v>484</v>
      </c>
      <c r="F172" t="s">
        <v>25</v>
      </c>
      <c r="G172" t="s">
        <v>443</v>
      </c>
      <c r="H172" t="s">
        <v>49</v>
      </c>
      <c r="I172" s="143">
        <v>3675676008</v>
      </c>
      <c r="J172" t="s">
        <v>58</v>
      </c>
      <c r="K172" t="s">
        <v>67</v>
      </c>
      <c r="L172" t="s">
        <v>394</v>
      </c>
      <c r="M172" s="27">
        <v>45673</v>
      </c>
      <c r="N172" s="27">
        <v>45720</v>
      </c>
      <c r="O172" t="s">
        <v>51</v>
      </c>
      <c r="P172" t="s">
        <v>32</v>
      </c>
      <c r="Q172"/>
      <c r="R172"/>
      <c r="S172"/>
      <c r="T172"/>
      <c r="U172"/>
      <c r="V172" s="152"/>
    </row>
    <row r="173" spans="1:22" s="1" customFormat="1">
      <c r="A173">
        <v>172</v>
      </c>
      <c r="B173" t="s">
        <v>485</v>
      </c>
      <c r="C173">
        <v>2025</v>
      </c>
      <c r="D173" t="s">
        <v>23</v>
      </c>
      <c r="E173" t="s">
        <v>486</v>
      </c>
      <c r="F173" t="s">
        <v>25</v>
      </c>
      <c r="G173" t="s">
        <v>443</v>
      </c>
      <c r="H173" t="s">
        <v>41</v>
      </c>
      <c r="I173" s="17">
        <v>161346000</v>
      </c>
      <c r="J173" t="s">
        <v>58</v>
      </c>
      <c r="K173" t="s">
        <v>29</v>
      </c>
      <c r="L173" t="s">
        <v>487</v>
      </c>
      <c r="M173" s="27">
        <v>45665</v>
      </c>
      <c r="N173" s="27">
        <v>45705</v>
      </c>
      <c r="O173" t="s">
        <v>31</v>
      </c>
      <c r="P173" t="s">
        <v>32</v>
      </c>
      <c r="Q173"/>
      <c r="R173"/>
      <c r="S173"/>
      <c r="T173"/>
      <c r="U173"/>
      <c r="V173" s="152"/>
    </row>
    <row r="174" spans="1:22" s="1" customFormat="1">
      <c r="A174">
        <v>173</v>
      </c>
      <c r="B174" t="s">
        <v>488</v>
      </c>
      <c r="C174">
        <v>2025</v>
      </c>
      <c r="D174" t="s">
        <v>96</v>
      </c>
      <c r="E174" t="s">
        <v>489</v>
      </c>
      <c r="F174" t="s">
        <v>25</v>
      </c>
      <c r="G174" t="s">
        <v>421</v>
      </c>
      <c r="H174" t="s">
        <v>36</v>
      </c>
      <c r="I174" s="17">
        <v>1300000000</v>
      </c>
      <c r="J174" t="s">
        <v>42</v>
      </c>
      <c r="K174" t="s">
        <v>67</v>
      </c>
      <c r="L174" t="s">
        <v>191</v>
      </c>
      <c r="M174" s="27">
        <v>45658</v>
      </c>
      <c r="N174" s="27">
        <v>45723</v>
      </c>
      <c r="O174" t="s">
        <v>51</v>
      </c>
      <c r="P174" t="s">
        <v>32</v>
      </c>
      <c r="Q174"/>
      <c r="R174"/>
      <c r="S174"/>
      <c r="T174"/>
      <c r="U174"/>
      <c r="V174" s="152"/>
    </row>
    <row r="175" spans="1:22" s="1" customFormat="1">
      <c r="A175">
        <v>174</v>
      </c>
      <c r="B175" t="s">
        <v>490</v>
      </c>
      <c r="C175">
        <v>2025</v>
      </c>
      <c r="D175" t="s">
        <v>96</v>
      </c>
      <c r="E175" t="s">
        <v>491</v>
      </c>
      <c r="F175" t="s">
        <v>25</v>
      </c>
      <c r="G175" t="s">
        <v>423</v>
      </c>
      <c r="H175" t="s">
        <v>91</v>
      </c>
      <c r="I175" s="17">
        <v>50000001</v>
      </c>
      <c r="J175" t="s">
        <v>37</v>
      </c>
      <c r="K175" t="s">
        <v>67</v>
      </c>
      <c r="L175" t="s">
        <v>492</v>
      </c>
      <c r="M175" s="27">
        <v>45683</v>
      </c>
      <c r="N175" s="27">
        <v>45695</v>
      </c>
      <c r="O175" t="s">
        <v>31</v>
      </c>
      <c r="P175" t="s">
        <v>32</v>
      </c>
      <c r="Q175"/>
      <c r="R175"/>
      <c r="S175"/>
      <c r="T175"/>
      <c r="U175"/>
      <c r="V175" s="152"/>
    </row>
    <row r="176" spans="1:22" s="1" customFormat="1">
      <c r="A176">
        <v>175</v>
      </c>
      <c r="B176" t="s">
        <v>493</v>
      </c>
      <c r="C176">
        <v>2025</v>
      </c>
      <c r="D176" t="s">
        <v>96</v>
      </c>
      <c r="E176" t="s">
        <v>494</v>
      </c>
      <c r="F176" t="s">
        <v>25</v>
      </c>
      <c r="G176" t="s">
        <v>443</v>
      </c>
      <c r="H176" t="s">
        <v>123</v>
      </c>
      <c r="I176" s="17"/>
      <c r="J176"/>
      <c r="K176"/>
      <c r="L176"/>
      <c r="M176" s="27"/>
      <c r="N176" s="27"/>
      <c r="O176"/>
      <c r="P176"/>
      <c r="Q176"/>
      <c r="R176"/>
      <c r="S176"/>
      <c r="T176"/>
      <c r="U176"/>
      <c r="V176" s="152"/>
    </row>
    <row r="177" spans="1:22" s="1" customFormat="1" ht="30.75">
      <c r="A177">
        <v>176</v>
      </c>
      <c r="B177" s="44" t="s">
        <v>495</v>
      </c>
      <c r="C177">
        <v>2025</v>
      </c>
      <c r="D177" t="s">
        <v>96</v>
      </c>
      <c r="E177" t="s">
        <v>496</v>
      </c>
      <c r="F177" t="s">
        <v>48</v>
      </c>
      <c r="G177" t="s">
        <v>423</v>
      </c>
      <c r="H177" t="s">
        <v>112</v>
      </c>
      <c r="I177" s="17">
        <v>85000000</v>
      </c>
      <c r="J177" t="s">
        <v>28</v>
      </c>
      <c r="K177" t="s">
        <v>29</v>
      </c>
      <c r="L177" t="s">
        <v>327</v>
      </c>
      <c r="M177" s="27">
        <v>45658</v>
      </c>
      <c r="N177" s="27">
        <v>45741</v>
      </c>
      <c r="O177" t="s">
        <v>31</v>
      </c>
      <c r="P177" t="s">
        <v>32</v>
      </c>
      <c r="Q177"/>
      <c r="R177"/>
      <c r="S177"/>
      <c r="T177"/>
      <c r="U177"/>
      <c r="V177" s="152"/>
    </row>
    <row r="178" spans="1:22" s="1" customFormat="1">
      <c r="A178">
        <v>177</v>
      </c>
      <c r="B178" t="s">
        <v>497</v>
      </c>
      <c r="C178">
        <v>2025</v>
      </c>
      <c r="D178" t="s">
        <v>96</v>
      </c>
      <c r="E178" t="s">
        <v>498</v>
      </c>
      <c r="F178" t="s">
        <v>128</v>
      </c>
      <c r="G178" t="s">
        <v>443</v>
      </c>
      <c r="H178" t="s">
        <v>499</v>
      </c>
      <c r="I178" s="17">
        <v>5970050205</v>
      </c>
      <c r="J178" t="s">
        <v>42</v>
      </c>
      <c r="K178" t="s">
        <v>43</v>
      </c>
      <c r="L178" t="s">
        <v>405</v>
      </c>
      <c r="M178" s="27">
        <v>45658</v>
      </c>
      <c r="N178" s="27">
        <v>45877</v>
      </c>
      <c r="O178" t="s">
        <v>51</v>
      </c>
      <c r="P178" t="s">
        <v>32</v>
      </c>
      <c r="Q178"/>
      <c r="R178"/>
      <c r="S178"/>
      <c r="T178"/>
      <c r="U178"/>
      <c r="V178" s="152"/>
    </row>
    <row r="179" spans="1:22" s="1" customFormat="1">
      <c r="A179">
        <v>178</v>
      </c>
      <c r="B179" t="s">
        <v>500</v>
      </c>
      <c r="C179">
        <v>2025</v>
      </c>
      <c r="D179" t="s">
        <v>96</v>
      </c>
      <c r="E179" t="s">
        <v>501</v>
      </c>
      <c r="F179" t="s">
        <v>48</v>
      </c>
      <c r="G179" t="s">
        <v>421</v>
      </c>
      <c r="H179" t="s">
        <v>36</v>
      </c>
      <c r="I179" s="17">
        <v>2176819600</v>
      </c>
      <c r="J179" t="s">
        <v>42</v>
      </c>
      <c r="K179" t="s">
        <v>29</v>
      </c>
      <c r="L179" t="s">
        <v>172</v>
      </c>
      <c r="M179" s="27">
        <v>45706</v>
      </c>
      <c r="N179" s="27">
        <v>45758</v>
      </c>
      <c r="O179" t="s">
        <v>31</v>
      </c>
      <c r="P179" t="s">
        <v>32</v>
      </c>
      <c r="Q179"/>
      <c r="R179"/>
      <c r="S179"/>
      <c r="T179"/>
      <c r="U179" t="s">
        <v>502</v>
      </c>
      <c r="V179" s="152"/>
    </row>
    <row r="180" spans="1:22" s="1" customFormat="1">
      <c r="A180">
        <v>179</v>
      </c>
      <c r="B180" t="s">
        <v>503</v>
      </c>
      <c r="C180">
        <v>2025</v>
      </c>
      <c r="D180" t="s">
        <v>96</v>
      </c>
      <c r="E180" t="s">
        <v>504</v>
      </c>
      <c r="F180" t="s">
        <v>25</v>
      </c>
      <c r="G180" t="s">
        <v>443</v>
      </c>
      <c r="H180" t="s">
        <v>41</v>
      </c>
      <c r="I180" s="17">
        <v>3396108000</v>
      </c>
      <c r="J180" t="s">
        <v>58</v>
      </c>
      <c r="K180" t="s">
        <v>29</v>
      </c>
      <c r="L180" t="s">
        <v>505</v>
      </c>
      <c r="M180" s="27">
        <v>45695</v>
      </c>
      <c r="N180" s="27">
        <v>45723</v>
      </c>
      <c r="O180" t="s">
        <v>31</v>
      </c>
      <c r="P180" t="s">
        <v>32</v>
      </c>
      <c r="Q180"/>
      <c r="R180"/>
      <c r="S180"/>
      <c r="T180"/>
      <c r="U180" t="s">
        <v>506</v>
      </c>
      <c r="V180" s="152"/>
    </row>
    <row r="181" spans="1:22" s="1" customFormat="1">
      <c r="A181">
        <v>180</v>
      </c>
      <c r="B181" t="s">
        <v>507</v>
      </c>
      <c r="C181">
        <v>2025</v>
      </c>
      <c r="D181" t="s">
        <v>96</v>
      </c>
      <c r="E181" t="s">
        <v>508</v>
      </c>
      <c r="F181" t="s">
        <v>25</v>
      </c>
      <c r="G181" t="s">
        <v>443</v>
      </c>
      <c r="H181" t="s">
        <v>123</v>
      </c>
      <c r="I181" s="17">
        <v>334800000</v>
      </c>
      <c r="J181" t="s">
        <v>28</v>
      </c>
      <c r="K181" t="s">
        <v>29</v>
      </c>
      <c r="L181" t="s">
        <v>235</v>
      </c>
      <c r="M181" s="27">
        <v>45688</v>
      </c>
      <c r="N181" s="27">
        <v>45719</v>
      </c>
      <c r="O181" t="s">
        <v>51</v>
      </c>
      <c r="P181" t="s">
        <v>32</v>
      </c>
      <c r="Q181"/>
      <c r="R181"/>
      <c r="S181"/>
      <c r="T181"/>
      <c r="U181"/>
      <c r="V181" s="152"/>
    </row>
    <row r="182" spans="1:22" s="1" customFormat="1">
      <c r="A182">
        <v>181</v>
      </c>
      <c r="B182" t="s">
        <v>509</v>
      </c>
      <c r="C182">
        <v>2025</v>
      </c>
      <c r="D182" t="s">
        <v>96</v>
      </c>
      <c r="E182" t="s">
        <v>510</v>
      </c>
      <c r="F182" t="s">
        <v>48</v>
      </c>
      <c r="G182" t="s">
        <v>421</v>
      </c>
      <c r="H182" t="s">
        <v>36</v>
      </c>
      <c r="I182" s="17">
        <v>151780000</v>
      </c>
      <c r="J182" t="s">
        <v>58</v>
      </c>
      <c r="K182" t="s">
        <v>29</v>
      </c>
      <c r="L182" t="s">
        <v>50</v>
      </c>
      <c r="M182" s="27">
        <v>45713</v>
      </c>
      <c r="N182" s="27">
        <v>45757</v>
      </c>
      <c r="O182" t="s">
        <v>31</v>
      </c>
      <c r="P182" t="s">
        <v>32</v>
      </c>
      <c r="Q182"/>
      <c r="R182"/>
      <c r="S182"/>
      <c r="T182"/>
      <c r="U182"/>
      <c r="V182" s="152"/>
    </row>
    <row r="183" spans="1:22" s="1" customFormat="1">
      <c r="A183">
        <v>182</v>
      </c>
      <c r="B183" t="s">
        <v>511</v>
      </c>
      <c r="C183">
        <v>2025</v>
      </c>
      <c r="D183" t="s">
        <v>144</v>
      </c>
      <c r="E183" t="s">
        <v>512</v>
      </c>
      <c r="F183" t="s">
        <v>25</v>
      </c>
      <c r="G183" t="s">
        <v>513</v>
      </c>
      <c r="H183" t="s">
        <v>514</v>
      </c>
      <c r="I183" s="17">
        <v>1861224000</v>
      </c>
      <c r="J183" t="s">
        <v>28</v>
      </c>
      <c r="K183" t="s">
        <v>29</v>
      </c>
      <c r="L183" t="s">
        <v>200</v>
      </c>
      <c r="M183" s="27">
        <v>45678</v>
      </c>
      <c r="N183" s="27">
        <v>45712</v>
      </c>
      <c r="O183" t="s">
        <v>51</v>
      </c>
      <c r="P183" t="s">
        <v>32</v>
      </c>
      <c r="Q183"/>
      <c r="R183"/>
      <c r="S183"/>
      <c r="T183"/>
      <c r="U183" t="s">
        <v>515</v>
      </c>
      <c r="V183" s="152"/>
    </row>
    <row r="184" spans="1:22" s="1" customFormat="1">
      <c r="A184">
        <v>183</v>
      </c>
      <c r="B184" t="s">
        <v>516</v>
      </c>
      <c r="C184">
        <v>2025</v>
      </c>
      <c r="D184" t="s">
        <v>144</v>
      </c>
      <c r="E184" t="s">
        <v>517</v>
      </c>
      <c r="F184" t="s">
        <v>25</v>
      </c>
      <c r="G184" t="s">
        <v>443</v>
      </c>
      <c r="H184" t="s">
        <v>123</v>
      </c>
      <c r="I184" s="17">
        <v>2276785716</v>
      </c>
      <c r="J184" t="s">
        <v>58</v>
      </c>
      <c r="K184" t="s">
        <v>29</v>
      </c>
      <c r="L184" t="s">
        <v>518</v>
      </c>
      <c r="M184" s="27">
        <v>45680</v>
      </c>
      <c r="N184" s="27">
        <v>45709</v>
      </c>
      <c r="O184" t="s">
        <v>31</v>
      </c>
      <c r="P184" t="s">
        <v>32</v>
      </c>
      <c r="Q184"/>
      <c r="R184"/>
      <c r="S184"/>
      <c r="T184"/>
      <c r="U184"/>
      <c r="V184" s="152"/>
    </row>
    <row r="185" spans="1:22" s="1" customFormat="1">
      <c r="A185">
        <v>184</v>
      </c>
      <c r="B185" t="s">
        <v>519</v>
      </c>
      <c r="C185">
        <v>2025</v>
      </c>
      <c r="D185" t="s">
        <v>144</v>
      </c>
      <c r="E185" t="s">
        <v>520</v>
      </c>
      <c r="F185" t="s">
        <v>25</v>
      </c>
      <c r="G185" t="s">
        <v>443</v>
      </c>
      <c r="H185" t="s">
        <v>41</v>
      </c>
      <c r="I185" s="17">
        <v>231520852</v>
      </c>
      <c r="J185" t="s">
        <v>28</v>
      </c>
      <c r="K185" t="s">
        <v>29</v>
      </c>
      <c r="L185" t="s">
        <v>142</v>
      </c>
      <c r="M185" s="27">
        <v>45712</v>
      </c>
      <c r="N185" s="27">
        <v>45755</v>
      </c>
      <c r="O185" t="s">
        <v>31</v>
      </c>
      <c r="P185" t="s">
        <v>32</v>
      </c>
      <c r="Q185"/>
      <c r="R185"/>
      <c r="S185"/>
      <c r="T185"/>
      <c r="U185"/>
      <c r="V185" s="152"/>
    </row>
    <row r="186" spans="1:22" s="1" customFormat="1">
      <c r="A186">
        <v>185</v>
      </c>
      <c r="B186" t="s">
        <v>521</v>
      </c>
      <c r="C186">
        <v>2025</v>
      </c>
      <c r="D186" t="s">
        <v>144</v>
      </c>
      <c r="E186" t="s">
        <v>522</v>
      </c>
      <c r="F186" t="s">
        <v>25</v>
      </c>
      <c r="G186" t="s">
        <v>443</v>
      </c>
      <c r="H186" t="s">
        <v>27</v>
      </c>
      <c r="I186" s="17">
        <v>7595440000</v>
      </c>
      <c r="J186" t="s">
        <v>28</v>
      </c>
      <c r="K186" t="s">
        <v>67</v>
      </c>
      <c r="L186" t="s">
        <v>523</v>
      </c>
      <c r="M186" s="27">
        <v>45714</v>
      </c>
      <c r="N186" s="27">
        <v>45717</v>
      </c>
      <c r="O186" t="s">
        <v>31</v>
      </c>
      <c r="P186" t="s">
        <v>460</v>
      </c>
      <c r="Q186"/>
      <c r="R186"/>
      <c r="S186"/>
      <c r="T186" t="s">
        <v>460</v>
      </c>
      <c r="U186" t="s">
        <v>524</v>
      </c>
      <c r="V186" s="152" t="s">
        <v>525</v>
      </c>
    </row>
    <row r="187" spans="1:22" s="1" customFormat="1">
      <c r="A187">
        <v>186</v>
      </c>
      <c r="B187" t="s">
        <v>526</v>
      </c>
      <c r="C187">
        <v>2025</v>
      </c>
      <c r="D187" t="s">
        <v>144</v>
      </c>
      <c r="E187" t="s">
        <v>527</v>
      </c>
      <c r="F187" t="s">
        <v>25</v>
      </c>
      <c r="G187" t="s">
        <v>443</v>
      </c>
      <c r="H187" t="s">
        <v>123</v>
      </c>
      <c r="I187" s="17">
        <v>245000000</v>
      </c>
      <c r="J187" t="s">
        <v>28</v>
      </c>
      <c r="K187" t="s">
        <v>29</v>
      </c>
      <c r="L187" t="s">
        <v>459</v>
      </c>
      <c r="M187" s="27">
        <v>45734</v>
      </c>
      <c r="N187" s="27">
        <v>45748</v>
      </c>
      <c r="O187" t="s">
        <v>51</v>
      </c>
      <c r="P187" t="s">
        <v>32</v>
      </c>
      <c r="Q187"/>
      <c r="R187"/>
      <c r="S187"/>
      <c r="T187"/>
      <c r="U187"/>
      <c r="V187" s="152"/>
    </row>
    <row r="188" spans="1:22" s="1" customFormat="1">
      <c r="A188">
        <v>187</v>
      </c>
      <c r="B188" t="s">
        <v>528</v>
      </c>
      <c r="C188">
        <v>2025</v>
      </c>
      <c r="D188" t="s">
        <v>144</v>
      </c>
      <c r="E188" t="s">
        <v>529</v>
      </c>
      <c r="F188" t="s">
        <v>25</v>
      </c>
      <c r="G188" t="s">
        <v>513</v>
      </c>
      <c r="H188" t="s">
        <v>514</v>
      </c>
      <c r="I188" s="17">
        <v>315685297</v>
      </c>
      <c r="J188" t="s">
        <v>58</v>
      </c>
      <c r="K188" t="s">
        <v>29</v>
      </c>
      <c r="L188" t="s">
        <v>530</v>
      </c>
      <c r="M188" s="27">
        <v>45722</v>
      </c>
      <c r="N188" s="27">
        <v>45765</v>
      </c>
      <c r="O188" t="s">
        <v>51</v>
      </c>
      <c r="P188" t="s">
        <v>32</v>
      </c>
      <c r="Q188"/>
      <c r="R188"/>
      <c r="S188"/>
      <c r="T188"/>
      <c r="U188"/>
      <c r="V188" s="152"/>
    </row>
    <row r="189" spans="1:22" s="1" customFormat="1">
      <c r="A189">
        <v>188</v>
      </c>
      <c r="B189" t="s">
        <v>531</v>
      </c>
      <c r="C189">
        <v>2025</v>
      </c>
      <c r="D189" t="s">
        <v>183</v>
      </c>
      <c r="E189" s="141" t="s">
        <v>532</v>
      </c>
      <c r="F189" t="s">
        <v>25</v>
      </c>
      <c r="G189" t="s">
        <v>513</v>
      </c>
      <c r="H189" t="s">
        <v>533</v>
      </c>
      <c r="I189" s="17">
        <v>153970000</v>
      </c>
      <c r="J189" t="s">
        <v>37</v>
      </c>
      <c r="K189" t="s">
        <v>29</v>
      </c>
      <c r="L189" t="s">
        <v>492</v>
      </c>
      <c r="M189" s="27">
        <v>45739</v>
      </c>
      <c r="N189" s="27">
        <v>45782</v>
      </c>
      <c r="O189" t="s">
        <v>51</v>
      </c>
      <c r="P189" t="s">
        <v>32</v>
      </c>
      <c r="Q189"/>
      <c r="R189"/>
      <c r="S189"/>
      <c r="T189"/>
      <c r="U189"/>
      <c r="V189" s="152"/>
    </row>
    <row r="190" spans="1:22" s="1" customFormat="1">
      <c r="A190">
        <v>189</v>
      </c>
      <c r="B190" t="s">
        <v>534</v>
      </c>
      <c r="C190">
        <v>2025</v>
      </c>
      <c r="D190" t="s">
        <v>183</v>
      </c>
      <c r="E190" t="s">
        <v>535</v>
      </c>
      <c r="F190" t="s">
        <v>25</v>
      </c>
      <c r="G190" t="s">
        <v>423</v>
      </c>
      <c r="H190" t="s">
        <v>536</v>
      </c>
      <c r="I190" s="17">
        <v>780672000</v>
      </c>
      <c r="J190" t="s">
        <v>58</v>
      </c>
      <c r="K190" t="s">
        <v>29</v>
      </c>
      <c r="L190" t="s">
        <v>50</v>
      </c>
      <c r="M190" s="27">
        <v>45742</v>
      </c>
      <c r="N190" s="27">
        <v>45772</v>
      </c>
      <c r="O190" t="s">
        <v>51</v>
      </c>
      <c r="P190" t="s">
        <v>32</v>
      </c>
      <c r="Q190"/>
      <c r="R190"/>
      <c r="S190"/>
      <c r="T190"/>
      <c r="U190"/>
      <c r="V190" s="152"/>
    </row>
    <row r="191" spans="1:22" s="1" customFormat="1">
      <c r="A191">
        <v>190</v>
      </c>
      <c r="B191" s="141" t="s">
        <v>537</v>
      </c>
      <c r="C191">
        <v>2025</v>
      </c>
      <c r="D191" t="s">
        <v>183</v>
      </c>
      <c r="E191" t="s">
        <v>538</v>
      </c>
      <c r="F191" t="s">
        <v>25</v>
      </c>
      <c r="G191" t="s">
        <v>443</v>
      </c>
      <c r="H191" t="s">
        <v>41</v>
      </c>
      <c r="I191" s="143">
        <v>1798190000</v>
      </c>
      <c r="J191" t="s">
        <v>58</v>
      </c>
      <c r="K191" t="s">
        <v>67</v>
      </c>
      <c r="L191" s="141" t="s">
        <v>539</v>
      </c>
      <c r="M191" s="27">
        <v>45726</v>
      </c>
      <c r="N191" s="27">
        <v>45772</v>
      </c>
      <c r="O191" t="s">
        <v>51</v>
      </c>
      <c r="P191" t="s">
        <v>32</v>
      </c>
      <c r="Q191"/>
      <c r="R191"/>
      <c r="S191"/>
      <c r="T191"/>
      <c r="U191" t="s">
        <v>540</v>
      </c>
      <c r="V191" s="152"/>
    </row>
    <row r="192" spans="1:22" s="1" customFormat="1">
      <c r="A192">
        <v>191</v>
      </c>
      <c r="B192" t="s">
        <v>541</v>
      </c>
      <c r="C192">
        <v>2025</v>
      </c>
      <c r="D192" t="s">
        <v>183</v>
      </c>
      <c r="E192" s="141" t="s">
        <v>542</v>
      </c>
      <c r="F192" t="s">
        <v>25</v>
      </c>
      <c r="G192" t="s">
        <v>423</v>
      </c>
      <c r="H192" t="s">
        <v>91</v>
      </c>
      <c r="I192" s="17">
        <v>334345950</v>
      </c>
      <c r="J192" t="s">
        <v>58</v>
      </c>
      <c r="K192" t="s">
        <v>29</v>
      </c>
      <c r="L192" s="141" t="s">
        <v>394</v>
      </c>
      <c r="M192" s="27">
        <v>45770</v>
      </c>
      <c r="N192" s="27">
        <v>45778</v>
      </c>
      <c r="O192" t="s">
        <v>51</v>
      </c>
      <c r="P192" t="s">
        <v>32</v>
      </c>
      <c r="Q192"/>
      <c r="R192"/>
      <c r="S192"/>
      <c r="T192"/>
      <c r="U192"/>
      <c r="V192" s="152"/>
    </row>
    <row r="193" spans="1:22" s="1" customFormat="1" ht="30.75">
      <c r="A193">
        <v>192</v>
      </c>
      <c r="B193" t="s">
        <v>543</v>
      </c>
      <c r="C193">
        <v>2025</v>
      </c>
      <c r="D193" t="s">
        <v>183</v>
      </c>
      <c r="E193" s="141" t="s">
        <v>544</v>
      </c>
      <c r="F193" t="s">
        <v>48</v>
      </c>
      <c r="G193" t="s">
        <v>423</v>
      </c>
      <c r="H193" t="s">
        <v>112</v>
      </c>
      <c r="I193" s="17">
        <v>346420000</v>
      </c>
      <c r="J193" t="s">
        <v>28</v>
      </c>
      <c r="K193" t="s">
        <v>29</v>
      </c>
      <c r="L193" t="s">
        <v>523</v>
      </c>
      <c r="M193" s="27">
        <v>45723</v>
      </c>
      <c r="N193" s="27">
        <v>45717</v>
      </c>
      <c r="O193" t="s">
        <v>31</v>
      </c>
      <c r="P193" t="s">
        <v>32</v>
      </c>
      <c r="Q193"/>
      <c r="R193"/>
      <c r="S193"/>
      <c r="T193"/>
      <c r="U193" s="44" t="s">
        <v>545</v>
      </c>
      <c r="V193" s="152"/>
    </row>
    <row r="194" spans="1:22" s="1" customFormat="1">
      <c r="A194">
        <v>193</v>
      </c>
      <c r="B194" t="s">
        <v>546</v>
      </c>
      <c r="C194">
        <v>2025</v>
      </c>
      <c r="D194" t="s">
        <v>183</v>
      </c>
      <c r="E194" t="s">
        <v>547</v>
      </c>
      <c r="F194" t="s">
        <v>25</v>
      </c>
      <c r="G194" t="s">
        <v>423</v>
      </c>
      <c r="H194" t="s">
        <v>49</v>
      </c>
      <c r="I194" s="17">
        <v>126156000</v>
      </c>
      <c r="J194" t="s">
        <v>58</v>
      </c>
      <c r="K194" t="s">
        <v>29</v>
      </c>
      <c r="L194" s="141" t="s">
        <v>394</v>
      </c>
      <c r="M194" s="27">
        <v>45722</v>
      </c>
      <c r="N194" s="27">
        <v>45778</v>
      </c>
      <c r="O194" t="s">
        <v>31</v>
      </c>
      <c r="P194" t="s">
        <v>32</v>
      </c>
      <c r="Q194"/>
      <c r="R194"/>
      <c r="S194"/>
      <c r="T194"/>
      <c r="U194"/>
      <c r="V194" s="152"/>
    </row>
    <row r="195" spans="1:22" s="1" customFormat="1">
      <c r="A195">
        <v>194</v>
      </c>
      <c r="B195" t="s">
        <v>548</v>
      </c>
      <c r="C195">
        <v>2025</v>
      </c>
      <c r="D195" t="s">
        <v>183</v>
      </c>
      <c r="E195" s="141" t="s">
        <v>549</v>
      </c>
      <c r="F195" t="s">
        <v>48</v>
      </c>
      <c r="G195" t="s">
        <v>423</v>
      </c>
      <c r="H195" t="s">
        <v>112</v>
      </c>
      <c r="I195" s="143">
        <v>119000000</v>
      </c>
      <c r="J195" t="s">
        <v>28</v>
      </c>
      <c r="K195" t="s">
        <v>29</v>
      </c>
      <c r="L195" t="s">
        <v>327</v>
      </c>
      <c r="M195" s="27">
        <v>45763</v>
      </c>
      <c r="N195" s="27">
        <v>45805</v>
      </c>
      <c r="O195" t="s">
        <v>31</v>
      </c>
      <c r="P195" t="s">
        <v>32</v>
      </c>
      <c r="Q195"/>
      <c r="R195"/>
      <c r="S195"/>
      <c r="T195"/>
      <c r="U195"/>
      <c r="V195" s="152"/>
    </row>
    <row r="196" spans="1:22" s="1" customFormat="1">
      <c r="A196">
        <v>195</v>
      </c>
      <c r="B196" t="s">
        <v>550</v>
      </c>
      <c r="C196">
        <v>2025</v>
      </c>
      <c r="D196" t="s">
        <v>212</v>
      </c>
      <c r="E196" t="s">
        <v>551</v>
      </c>
      <c r="F196" t="s">
        <v>25</v>
      </c>
      <c r="G196" t="s">
        <v>443</v>
      </c>
      <c r="H196" t="s">
        <v>27</v>
      </c>
      <c r="I196" s="17">
        <v>109600000</v>
      </c>
      <c r="J196" t="s">
        <v>28</v>
      </c>
      <c r="K196" t="s">
        <v>29</v>
      </c>
      <c r="L196" t="s">
        <v>552</v>
      </c>
      <c r="M196" s="27">
        <v>45797</v>
      </c>
      <c r="N196" s="27">
        <v>45845</v>
      </c>
      <c r="O196" t="s">
        <v>31</v>
      </c>
      <c r="P196" t="s">
        <v>32</v>
      </c>
      <c r="Q196"/>
      <c r="R196"/>
      <c r="S196"/>
      <c r="T196"/>
      <c r="U196"/>
      <c r="V196" s="152"/>
    </row>
    <row r="197" spans="1:22" s="1" customFormat="1">
      <c r="A197">
        <v>196</v>
      </c>
      <c r="B197" s="141" t="s">
        <v>553</v>
      </c>
      <c r="C197">
        <v>2025</v>
      </c>
      <c r="D197" t="s">
        <v>183</v>
      </c>
      <c r="E197" t="s">
        <v>554</v>
      </c>
      <c r="F197" t="s">
        <v>25</v>
      </c>
      <c r="G197" t="s">
        <v>443</v>
      </c>
      <c r="H197" t="s">
        <v>41</v>
      </c>
      <c r="I197" s="143">
        <v>887765604</v>
      </c>
      <c r="J197" t="s">
        <v>58</v>
      </c>
      <c r="K197" t="s">
        <v>29</v>
      </c>
      <c r="L197" s="141" t="s">
        <v>530</v>
      </c>
      <c r="M197" s="27">
        <v>45768</v>
      </c>
      <c r="N197" s="27">
        <v>45778</v>
      </c>
      <c r="O197" t="s">
        <v>51</v>
      </c>
      <c r="P197" t="s">
        <v>32</v>
      </c>
      <c r="Q197"/>
      <c r="R197"/>
      <c r="S197"/>
      <c r="T197"/>
      <c r="U197"/>
      <c r="V197" s="152"/>
    </row>
    <row r="198" spans="1:22" s="1" customFormat="1">
      <c r="A198">
        <v>197</v>
      </c>
      <c r="B198" s="141" t="s">
        <v>555</v>
      </c>
      <c r="C198">
        <v>2025</v>
      </c>
      <c r="D198" t="s">
        <v>212</v>
      </c>
      <c r="E198" t="s">
        <v>556</v>
      </c>
      <c r="F198" t="s">
        <v>48</v>
      </c>
      <c r="G198" t="s">
        <v>421</v>
      </c>
      <c r="H198" t="s">
        <v>557</v>
      </c>
      <c r="I198" s="17">
        <v>322200000</v>
      </c>
      <c r="J198" t="s">
        <v>42</v>
      </c>
      <c r="K198" t="s">
        <v>29</v>
      </c>
      <c r="L198" s="141" t="s">
        <v>558</v>
      </c>
      <c r="M198" s="27">
        <v>45772</v>
      </c>
      <c r="N198" s="27">
        <v>45807</v>
      </c>
      <c r="O198" t="s">
        <v>31</v>
      </c>
      <c r="P198" t="s">
        <v>32</v>
      </c>
      <c r="Q198"/>
      <c r="R198"/>
      <c r="S198"/>
      <c r="T198"/>
      <c r="U198"/>
      <c r="V198" s="152"/>
    </row>
    <row r="199" spans="1:22" s="1" customFormat="1">
      <c r="A199">
        <v>198</v>
      </c>
      <c r="B199" s="141" t="s">
        <v>559</v>
      </c>
      <c r="C199">
        <v>2025</v>
      </c>
      <c r="D199" t="s">
        <v>212</v>
      </c>
      <c r="E199" s="141" t="s">
        <v>560</v>
      </c>
      <c r="F199" t="s">
        <v>48</v>
      </c>
      <c r="G199" t="s">
        <v>423</v>
      </c>
      <c r="H199" t="s">
        <v>561</v>
      </c>
      <c r="I199" s="143">
        <v>755500000</v>
      </c>
      <c r="J199" t="s">
        <v>28</v>
      </c>
      <c r="K199" t="s">
        <v>29</v>
      </c>
      <c r="L199" s="141" t="s">
        <v>200</v>
      </c>
      <c r="M199" s="27">
        <v>45776</v>
      </c>
      <c r="N199" s="27">
        <v>45813</v>
      </c>
      <c r="O199" t="s">
        <v>31</v>
      </c>
      <c r="P199" t="s">
        <v>460</v>
      </c>
      <c r="Q199"/>
      <c r="R199" t="s">
        <v>460</v>
      </c>
      <c r="S199"/>
      <c r="T199"/>
      <c r="U199" t="s">
        <v>562</v>
      </c>
      <c r="V199" s="152" t="s">
        <v>563</v>
      </c>
    </row>
    <row r="200" spans="1:22" s="1" customFormat="1">
      <c r="A200">
        <v>199</v>
      </c>
      <c r="B200" s="141" t="s">
        <v>564</v>
      </c>
      <c r="C200">
        <v>2025</v>
      </c>
      <c r="D200" t="s">
        <v>212</v>
      </c>
      <c r="E200" s="141" t="s">
        <v>565</v>
      </c>
      <c r="F200" t="s">
        <v>48</v>
      </c>
      <c r="G200" t="s">
        <v>423</v>
      </c>
      <c r="H200" t="s">
        <v>112</v>
      </c>
      <c r="I200" s="143">
        <v>78000000</v>
      </c>
      <c r="J200" t="s">
        <v>28</v>
      </c>
      <c r="K200" t="s">
        <v>29</v>
      </c>
      <c r="L200" s="141" t="s">
        <v>566</v>
      </c>
      <c r="M200" s="27">
        <v>45784</v>
      </c>
      <c r="N200" s="27">
        <v>45805</v>
      </c>
      <c r="O200" t="s">
        <v>31</v>
      </c>
      <c r="P200" t="s">
        <v>32</v>
      </c>
      <c r="Q200"/>
      <c r="R200"/>
      <c r="S200"/>
      <c r="T200"/>
      <c r="U200"/>
      <c r="V200" s="152"/>
    </row>
    <row r="201" spans="1:22" s="1" customFormat="1">
      <c r="A201">
        <v>200</v>
      </c>
      <c r="B201" t="s">
        <v>567</v>
      </c>
      <c r="C201">
        <v>2025</v>
      </c>
      <c r="D201" t="s">
        <v>212</v>
      </c>
      <c r="E201" s="141" t="s">
        <v>568</v>
      </c>
      <c r="F201" t="s">
        <v>48</v>
      </c>
      <c r="G201" t="s">
        <v>423</v>
      </c>
      <c r="H201" t="s">
        <v>112</v>
      </c>
      <c r="I201" s="143">
        <v>227360000</v>
      </c>
      <c r="J201" t="s">
        <v>28</v>
      </c>
      <c r="K201" t="s">
        <v>29</v>
      </c>
      <c r="L201" t="s">
        <v>459</v>
      </c>
      <c r="M201" s="27">
        <v>45784</v>
      </c>
      <c r="N201" s="27">
        <v>45821</v>
      </c>
      <c r="O201" t="s">
        <v>31</v>
      </c>
      <c r="P201" t="s">
        <v>32</v>
      </c>
      <c r="Q201"/>
      <c r="R201"/>
      <c r="S201"/>
      <c r="T201"/>
      <c r="U201"/>
      <c r="V201" s="152"/>
    </row>
    <row r="202" spans="1:22" s="1" customFormat="1">
      <c r="A202">
        <v>201</v>
      </c>
      <c r="B202" s="51" t="s">
        <v>311</v>
      </c>
      <c r="C202">
        <v>2025</v>
      </c>
      <c r="D202" t="s">
        <v>212</v>
      </c>
      <c r="E202" s="51" t="s">
        <v>569</v>
      </c>
      <c r="F202" t="s">
        <v>25</v>
      </c>
      <c r="G202" t="s">
        <v>513</v>
      </c>
      <c r="H202" t="s">
        <v>570</v>
      </c>
      <c r="I202" s="17"/>
      <c r="J202"/>
      <c r="K202"/>
      <c r="L202"/>
      <c r="M202"/>
      <c r="N202"/>
      <c r="O202"/>
      <c r="P202"/>
      <c r="Q202"/>
      <c r="R202"/>
      <c r="S202"/>
      <c r="T202"/>
      <c r="U202"/>
      <c r="V202" s="152"/>
    </row>
    <row r="203" spans="1:22" s="1" customFormat="1">
      <c r="A203">
        <v>202</v>
      </c>
      <c r="B203" t="s">
        <v>571</v>
      </c>
      <c r="C203">
        <v>2025</v>
      </c>
      <c r="D203" t="s">
        <v>261</v>
      </c>
      <c r="E203" t="s">
        <v>572</v>
      </c>
      <c r="F203" t="s">
        <v>25</v>
      </c>
      <c r="G203" t="s">
        <v>443</v>
      </c>
      <c r="H203" t="s">
        <v>27</v>
      </c>
      <c r="I203" s="17">
        <v>1169370000</v>
      </c>
      <c r="J203" t="s">
        <v>58</v>
      </c>
      <c r="K203" t="s">
        <v>67</v>
      </c>
      <c r="L203" t="s">
        <v>444</v>
      </c>
      <c r="M203" s="27">
        <v>45810</v>
      </c>
      <c r="N203" s="27">
        <v>45842</v>
      </c>
      <c r="O203" t="s">
        <v>31</v>
      </c>
      <c r="P203" t="s">
        <v>32</v>
      </c>
      <c r="Q203"/>
      <c r="R203"/>
      <c r="S203"/>
      <c r="T203"/>
      <c r="U203"/>
      <c r="V203" s="152"/>
    </row>
    <row r="204" spans="1:22" s="1" customFormat="1">
      <c r="A204">
        <v>203</v>
      </c>
      <c r="B204" s="145" t="s">
        <v>573</v>
      </c>
      <c r="C204">
        <v>2025</v>
      </c>
      <c r="D204" t="s">
        <v>261</v>
      </c>
      <c r="E204" t="s">
        <v>574</v>
      </c>
      <c r="F204" t="s">
        <v>25</v>
      </c>
      <c r="G204" t="s">
        <v>443</v>
      </c>
      <c r="H204" t="s">
        <v>49</v>
      </c>
      <c r="I204" s="17">
        <v>178240000</v>
      </c>
      <c r="J204" t="s">
        <v>58</v>
      </c>
      <c r="K204" t="s">
        <v>29</v>
      </c>
      <c r="L204" s="141" t="s">
        <v>575</v>
      </c>
      <c r="M204" s="27">
        <v>45719</v>
      </c>
      <c r="N204" s="27">
        <v>45768</v>
      </c>
      <c r="O204" t="s">
        <v>51</v>
      </c>
      <c r="P204" t="s">
        <v>32</v>
      </c>
      <c r="Q204"/>
      <c r="R204"/>
      <c r="S204"/>
      <c r="T204"/>
      <c r="U204"/>
      <c r="V204" s="152"/>
    </row>
    <row r="205" spans="1:22" s="1" customFormat="1">
      <c r="A205">
        <v>204</v>
      </c>
      <c r="B205" t="s">
        <v>576</v>
      </c>
      <c r="C205">
        <v>2025</v>
      </c>
      <c r="D205" t="s">
        <v>261</v>
      </c>
      <c r="E205" t="s">
        <v>577</v>
      </c>
      <c r="F205" t="s">
        <v>25</v>
      </c>
      <c r="G205" t="s">
        <v>421</v>
      </c>
      <c r="H205" t="s">
        <v>36</v>
      </c>
      <c r="I205" s="17">
        <v>6318849992</v>
      </c>
      <c r="J205" t="s">
        <v>42</v>
      </c>
      <c r="K205" t="s">
        <v>29</v>
      </c>
      <c r="L205" t="s">
        <v>578</v>
      </c>
      <c r="M205" s="27">
        <v>45798</v>
      </c>
      <c r="N205" s="27">
        <v>45835</v>
      </c>
      <c r="O205" t="s">
        <v>51</v>
      </c>
      <c r="P205" t="s">
        <v>32</v>
      </c>
      <c r="Q205"/>
      <c r="R205"/>
      <c r="S205"/>
      <c r="T205"/>
      <c r="U205"/>
      <c r="V205" s="152"/>
    </row>
    <row r="206" spans="1:22" s="1" customFormat="1">
      <c r="A206">
        <v>205</v>
      </c>
      <c r="B206" t="s">
        <v>579</v>
      </c>
      <c r="C206">
        <v>2025</v>
      </c>
      <c r="D206" t="s">
        <v>261</v>
      </c>
      <c r="E206" t="s">
        <v>580</v>
      </c>
      <c r="F206" t="s">
        <v>25</v>
      </c>
      <c r="G206" t="s">
        <v>443</v>
      </c>
      <c r="H206" t="s">
        <v>49</v>
      </c>
      <c r="I206" s="17">
        <v>11271665160</v>
      </c>
      <c r="J206" t="s">
        <v>28</v>
      </c>
      <c r="K206" t="s">
        <v>29</v>
      </c>
      <c r="L206" t="s">
        <v>142</v>
      </c>
      <c r="M206" s="27">
        <v>45768</v>
      </c>
      <c r="N206" s="27">
        <v>45784</v>
      </c>
      <c r="O206" t="s">
        <v>51</v>
      </c>
      <c r="P206" t="s">
        <v>32</v>
      </c>
      <c r="Q206"/>
      <c r="R206"/>
      <c r="S206"/>
      <c r="T206"/>
      <c r="U206" t="s">
        <v>581</v>
      </c>
      <c r="V206" s="152"/>
    </row>
    <row r="207" spans="1:22" s="1" customFormat="1" ht="30.75">
      <c r="A207">
        <v>206</v>
      </c>
      <c r="B207" s="44" t="s">
        <v>582</v>
      </c>
      <c r="C207">
        <v>2025</v>
      </c>
      <c r="D207" t="s">
        <v>261</v>
      </c>
      <c r="E207" t="s">
        <v>583</v>
      </c>
      <c r="F207" t="s">
        <v>48</v>
      </c>
      <c r="G207" t="s">
        <v>421</v>
      </c>
      <c r="H207" t="s">
        <v>584</v>
      </c>
      <c r="I207" s="17">
        <v>116000000</v>
      </c>
      <c r="J207" t="s">
        <v>28</v>
      </c>
      <c r="K207" t="s">
        <v>29</v>
      </c>
      <c r="L207" t="s">
        <v>365</v>
      </c>
      <c r="M207" s="27">
        <v>45826</v>
      </c>
      <c r="N207" s="27">
        <v>45866</v>
      </c>
      <c r="O207" t="s">
        <v>31</v>
      </c>
      <c r="P207" t="s">
        <v>32</v>
      </c>
      <c r="Q207"/>
      <c r="R207"/>
      <c r="S207"/>
      <c r="T207"/>
      <c r="U207"/>
      <c r="V207" s="152"/>
    </row>
    <row r="208" spans="1:22" s="1" customFormat="1">
      <c r="A208">
        <v>207</v>
      </c>
      <c r="B208" t="s">
        <v>585</v>
      </c>
      <c r="C208">
        <v>2025</v>
      </c>
      <c r="D208" t="s">
        <v>261</v>
      </c>
      <c r="E208" t="s">
        <v>586</v>
      </c>
      <c r="F208" t="s">
        <v>48</v>
      </c>
      <c r="G208" t="s">
        <v>423</v>
      </c>
      <c r="H208" t="s">
        <v>112</v>
      </c>
      <c r="I208" s="17">
        <v>37000000</v>
      </c>
      <c r="J208" t="s">
        <v>28</v>
      </c>
      <c r="K208" t="s">
        <v>29</v>
      </c>
      <c r="L208" t="s">
        <v>459</v>
      </c>
      <c r="M208" s="27">
        <v>45832</v>
      </c>
      <c r="N208" s="27">
        <v>45875</v>
      </c>
      <c r="O208" t="s">
        <v>31</v>
      </c>
      <c r="P208" t="s">
        <v>32</v>
      </c>
      <c r="Q208"/>
      <c r="R208"/>
      <c r="S208"/>
      <c r="T208"/>
      <c r="U208"/>
      <c r="V208" s="152"/>
    </row>
    <row r="209" spans="1:22" s="1" customFormat="1">
      <c r="A209">
        <v>208</v>
      </c>
      <c r="B209" t="s">
        <v>587</v>
      </c>
      <c r="C209">
        <v>2025</v>
      </c>
      <c r="D209" t="s">
        <v>261</v>
      </c>
      <c r="E209" t="s">
        <v>588</v>
      </c>
      <c r="F209" t="s">
        <v>25</v>
      </c>
      <c r="G209" t="s">
        <v>443</v>
      </c>
      <c r="H209" t="s">
        <v>27</v>
      </c>
      <c r="I209" s="17">
        <v>3582880000</v>
      </c>
      <c r="J209" t="s">
        <v>58</v>
      </c>
      <c r="K209" t="s">
        <v>67</v>
      </c>
      <c r="L209" t="s">
        <v>589</v>
      </c>
      <c r="M209" s="27">
        <v>45827</v>
      </c>
      <c r="N209" s="27">
        <v>45877</v>
      </c>
      <c r="O209" t="s">
        <v>31</v>
      </c>
      <c r="P209" t="s">
        <v>32</v>
      </c>
      <c r="Q209"/>
      <c r="R209"/>
      <c r="S209"/>
      <c r="T209"/>
      <c r="U209"/>
      <c r="V209" s="152"/>
    </row>
    <row r="210" spans="1:22" s="1" customFormat="1">
      <c r="A210">
        <v>209</v>
      </c>
      <c r="B210" t="s">
        <v>590</v>
      </c>
      <c r="C210">
        <v>2025</v>
      </c>
      <c r="D210" t="s">
        <v>274</v>
      </c>
      <c r="E210" t="s">
        <v>591</v>
      </c>
      <c r="F210" t="s">
        <v>25</v>
      </c>
      <c r="G210" t="s">
        <v>443</v>
      </c>
      <c r="H210" t="s">
        <v>123</v>
      </c>
      <c r="I210" s="143">
        <v>256361260</v>
      </c>
      <c r="J210" t="s">
        <v>28</v>
      </c>
      <c r="K210" t="s">
        <v>29</v>
      </c>
      <c r="L210" t="s">
        <v>235</v>
      </c>
      <c r="M210" s="27">
        <v>45844</v>
      </c>
      <c r="N210" s="27">
        <v>45888</v>
      </c>
      <c r="O210" t="s">
        <v>31</v>
      </c>
      <c r="P210" t="s">
        <v>592</v>
      </c>
      <c r="Q210"/>
      <c r="R210"/>
      <c r="S210"/>
      <c r="T210"/>
      <c r="U210"/>
      <c r="V210" s="152"/>
    </row>
    <row r="211" spans="1:22" s="1" customFormat="1">
      <c r="A211">
        <v>210</v>
      </c>
      <c r="B211" t="s">
        <v>593</v>
      </c>
      <c r="C211">
        <v>2025</v>
      </c>
      <c r="D211" t="s">
        <v>274</v>
      </c>
      <c r="E211" t="s">
        <v>594</v>
      </c>
      <c r="F211" t="s">
        <v>25</v>
      </c>
      <c r="G211" t="s">
        <v>595</v>
      </c>
      <c r="H211" t="s">
        <v>49</v>
      </c>
      <c r="I211" s="35">
        <v>151182850</v>
      </c>
      <c r="J211" t="s">
        <v>596</v>
      </c>
      <c r="K211" t="s">
        <v>29</v>
      </c>
      <c r="L211" t="s">
        <v>394</v>
      </c>
      <c r="M211" s="2">
        <v>45839</v>
      </c>
      <c r="N211" s="2">
        <v>45877</v>
      </c>
      <c r="O211" t="s">
        <v>597</v>
      </c>
      <c r="P211" t="s">
        <v>32</v>
      </c>
      <c r="Q211"/>
      <c r="R211"/>
      <c r="S211"/>
      <c r="T211"/>
      <c r="U211"/>
      <c r="V211" s="152"/>
    </row>
    <row r="212" spans="1:22" s="1" customFormat="1">
      <c r="A212">
        <v>211</v>
      </c>
      <c r="B212" s="45" t="s">
        <v>598</v>
      </c>
      <c r="C212">
        <v>2025</v>
      </c>
      <c r="D212" t="s">
        <v>274</v>
      </c>
      <c r="E212" t="s">
        <v>599</v>
      </c>
      <c r="F212" t="s">
        <v>25</v>
      </c>
      <c r="G212" s="45" t="s">
        <v>600</v>
      </c>
      <c r="H212" t="s">
        <v>601</v>
      </c>
      <c r="I212" s="35">
        <v>6324850000</v>
      </c>
      <c r="J212" t="s">
        <v>602</v>
      </c>
      <c r="K212" t="s">
        <v>29</v>
      </c>
      <c r="L212" t="s">
        <v>603</v>
      </c>
      <c r="M212" s="2">
        <v>45839</v>
      </c>
      <c r="N212" s="2">
        <v>45897</v>
      </c>
      <c r="O212" t="s">
        <v>597</v>
      </c>
      <c r="P212" t="s">
        <v>592</v>
      </c>
      <c r="Q212"/>
      <c r="R212"/>
      <c r="S212"/>
      <c r="T212"/>
      <c r="U212"/>
      <c r="V212" s="152"/>
    </row>
    <row r="213" spans="1:22" s="1" customFormat="1">
      <c r="A213">
        <v>212</v>
      </c>
      <c r="B213" s="45" t="s">
        <v>604</v>
      </c>
      <c r="C213">
        <v>2025</v>
      </c>
      <c r="D213" t="s">
        <v>274</v>
      </c>
      <c r="E213" t="s">
        <v>605</v>
      </c>
      <c r="F213" t="s">
        <v>25</v>
      </c>
      <c r="G213" t="s">
        <v>606</v>
      </c>
      <c r="H213" t="s">
        <v>87</v>
      </c>
      <c r="I213" s="35">
        <v>373570000</v>
      </c>
      <c r="J213" t="s">
        <v>28</v>
      </c>
      <c r="K213" t="s">
        <v>29</v>
      </c>
      <c r="L213" t="s">
        <v>607</v>
      </c>
      <c r="M213" s="2">
        <v>45778</v>
      </c>
      <c r="N213" s="2">
        <v>45866</v>
      </c>
      <c r="O213" t="s">
        <v>69</v>
      </c>
      <c r="P213" t="s">
        <v>460</v>
      </c>
      <c r="Q213"/>
      <c r="R213"/>
      <c r="S213" t="s">
        <v>460</v>
      </c>
      <c r="T213"/>
      <c r="U213" t="s">
        <v>608</v>
      </c>
      <c r="V213" s="152"/>
    </row>
    <row r="214" spans="1:22" s="1" customFormat="1">
      <c r="A214">
        <v>213</v>
      </c>
      <c r="B214" s="45" t="s">
        <v>609</v>
      </c>
      <c r="C214">
        <v>2025</v>
      </c>
      <c r="D214" t="s">
        <v>274</v>
      </c>
      <c r="E214" t="s">
        <v>610</v>
      </c>
      <c r="F214" t="s">
        <v>25</v>
      </c>
      <c r="G214" t="s">
        <v>595</v>
      </c>
      <c r="H214" t="s">
        <v>123</v>
      </c>
      <c r="I214" s="35">
        <v>362022500</v>
      </c>
      <c r="J214" t="s">
        <v>28</v>
      </c>
      <c r="K214" t="s">
        <v>29</v>
      </c>
      <c r="L214" t="s">
        <v>611</v>
      </c>
      <c r="M214" s="2">
        <v>45809</v>
      </c>
      <c r="N214" s="2">
        <v>45852</v>
      </c>
      <c r="O214" t="s">
        <v>51</v>
      </c>
      <c r="P214" t="s">
        <v>592</v>
      </c>
      <c r="Q214"/>
      <c r="R214"/>
      <c r="S214"/>
      <c r="T214"/>
      <c r="U214"/>
      <c r="V214" s="152"/>
    </row>
    <row r="215" spans="1:22" s="1" customFormat="1">
      <c r="A215">
        <v>214</v>
      </c>
      <c r="B215" s="12" t="s">
        <v>612</v>
      </c>
      <c r="C215">
        <v>2025</v>
      </c>
      <c r="D215" t="s">
        <v>274</v>
      </c>
      <c r="E215" t="s">
        <v>613</v>
      </c>
      <c r="F215" t="s">
        <v>25</v>
      </c>
      <c r="G215" t="s">
        <v>606</v>
      </c>
      <c r="H215" t="s">
        <v>36</v>
      </c>
      <c r="I215" s="35">
        <v>2734205002</v>
      </c>
      <c r="J215" t="s">
        <v>614</v>
      </c>
      <c r="K215" t="s">
        <v>67</v>
      </c>
      <c r="L215" t="s">
        <v>615</v>
      </c>
      <c r="M215" s="2">
        <v>45648</v>
      </c>
      <c r="N215" s="2">
        <v>45777</v>
      </c>
      <c r="O215" t="s">
        <v>597</v>
      </c>
      <c r="P215" t="s">
        <v>592</v>
      </c>
      <c r="Q215"/>
      <c r="R215"/>
      <c r="S215"/>
      <c r="T215"/>
      <c r="U215"/>
      <c r="V215" s="152"/>
    </row>
    <row r="216" spans="1:22" s="1" customFormat="1" ht="29.25">
      <c r="A216">
        <v>215</v>
      </c>
      <c r="B216" s="146" t="s">
        <v>616</v>
      </c>
      <c r="C216">
        <v>2025</v>
      </c>
      <c r="D216" t="s">
        <v>274</v>
      </c>
      <c r="E216" s="141" t="s">
        <v>617</v>
      </c>
      <c r="F216" t="s">
        <v>25</v>
      </c>
      <c r="G216" t="s">
        <v>423</v>
      </c>
      <c r="H216" t="s">
        <v>91</v>
      </c>
      <c r="I216" s="35">
        <v>1397750000</v>
      </c>
      <c r="J216" t="s">
        <v>420</v>
      </c>
      <c r="K216" t="s">
        <v>67</v>
      </c>
      <c r="L216" t="s">
        <v>618</v>
      </c>
      <c r="M216" s="2">
        <v>45861</v>
      </c>
      <c r="N216" s="2">
        <v>45901</v>
      </c>
      <c r="O216" t="s">
        <v>51</v>
      </c>
      <c r="P216" t="s">
        <v>32</v>
      </c>
      <c r="Q216"/>
      <c r="R216"/>
      <c r="S216"/>
      <c r="T216"/>
      <c r="U216"/>
      <c r="V216" s="152"/>
    </row>
    <row r="217" spans="1:22" s="1" customFormat="1">
      <c r="A217">
        <v>216</v>
      </c>
      <c r="B217" t="s">
        <v>619</v>
      </c>
      <c r="C217">
        <v>2025</v>
      </c>
      <c r="D217" t="s">
        <v>274</v>
      </c>
      <c r="E217" t="s">
        <v>620</v>
      </c>
      <c r="F217" t="s">
        <v>48</v>
      </c>
      <c r="G217" t="s">
        <v>423</v>
      </c>
      <c r="H217" t="s">
        <v>621</v>
      </c>
      <c r="I217" s="143">
        <v>77000000</v>
      </c>
      <c r="J217" t="s">
        <v>28</v>
      </c>
      <c r="K217" t="s">
        <v>29</v>
      </c>
      <c r="L217" t="s">
        <v>622</v>
      </c>
      <c r="M217" s="27">
        <v>45792</v>
      </c>
      <c r="N217" s="27">
        <v>45828</v>
      </c>
      <c r="O217" t="s">
        <v>69</v>
      </c>
      <c r="P217" t="s">
        <v>32</v>
      </c>
      <c r="Q217"/>
      <c r="R217"/>
      <c r="S217"/>
      <c r="T217"/>
      <c r="U217"/>
      <c r="V217" s="152"/>
    </row>
    <row r="218" spans="1:22" s="1" customFormat="1">
      <c r="A218">
        <v>217</v>
      </c>
      <c r="B218" s="44" t="s">
        <v>623</v>
      </c>
      <c r="C218">
        <v>2025</v>
      </c>
      <c r="D218" t="s">
        <v>274</v>
      </c>
      <c r="E218" t="s">
        <v>624</v>
      </c>
      <c r="F218" t="s">
        <v>25</v>
      </c>
      <c r="G218" t="s">
        <v>423</v>
      </c>
      <c r="H218" t="s">
        <v>123</v>
      </c>
      <c r="I218" s="143">
        <v>88900000</v>
      </c>
      <c r="J218" t="s">
        <v>28</v>
      </c>
      <c r="K218" t="s">
        <v>29</v>
      </c>
      <c r="L218" t="s">
        <v>625</v>
      </c>
      <c r="M218" s="2">
        <v>45862</v>
      </c>
      <c r="N218" s="2">
        <v>45894</v>
      </c>
      <c r="O218" t="s">
        <v>51</v>
      </c>
      <c r="P218" t="s">
        <v>32</v>
      </c>
      <c r="Q218"/>
      <c r="R218"/>
      <c r="S218"/>
      <c r="T218"/>
      <c r="U218"/>
      <c r="V218" s="152"/>
    </row>
    <row r="219" spans="1:22" s="1" customFormat="1">
      <c r="A219">
        <v>218</v>
      </c>
      <c r="B219" t="s">
        <v>626</v>
      </c>
      <c r="C219">
        <v>2025</v>
      </c>
      <c r="D219" t="s">
        <v>274</v>
      </c>
      <c r="E219" t="s">
        <v>627</v>
      </c>
      <c r="F219" t="s">
        <v>48</v>
      </c>
      <c r="G219" t="s">
        <v>423</v>
      </c>
      <c r="H219" t="s">
        <v>561</v>
      </c>
      <c r="I219" s="143">
        <v>162000000</v>
      </c>
      <c r="J219" t="s">
        <v>28</v>
      </c>
      <c r="K219" t="s">
        <v>29</v>
      </c>
      <c r="L219" t="s">
        <v>622</v>
      </c>
      <c r="M219" s="27">
        <v>45863</v>
      </c>
      <c r="N219" s="27">
        <v>45898</v>
      </c>
      <c r="O219" t="s">
        <v>69</v>
      </c>
      <c r="P219" t="s">
        <v>32</v>
      </c>
      <c r="Q219"/>
      <c r="R219"/>
      <c r="S219"/>
      <c r="T219"/>
      <c r="U219"/>
      <c r="V219" s="152"/>
    </row>
    <row r="220" spans="1:22" s="1" customFormat="1" ht="30">
      <c r="A220">
        <v>219</v>
      </c>
      <c r="B220" s="12" t="s">
        <v>628</v>
      </c>
      <c r="C220">
        <v>2025</v>
      </c>
      <c r="D220" t="s">
        <v>274</v>
      </c>
      <c r="E220" s="142" t="s">
        <v>629</v>
      </c>
      <c r="F220" t="s">
        <v>48</v>
      </c>
      <c r="G220" t="s">
        <v>423</v>
      </c>
      <c r="H220" t="s">
        <v>91</v>
      </c>
      <c r="I220" s="147">
        <v>150480000</v>
      </c>
      <c r="J220" t="s">
        <v>28</v>
      </c>
      <c r="K220" t="s">
        <v>29</v>
      </c>
      <c r="L220" s="141" t="s">
        <v>200</v>
      </c>
      <c r="M220" s="141" t="s">
        <v>630</v>
      </c>
      <c r="N220" s="142" t="s">
        <v>631</v>
      </c>
      <c r="O220" t="s">
        <v>69</v>
      </c>
      <c r="P220" t="s">
        <v>32</v>
      </c>
      <c r="Q220"/>
      <c r="R220"/>
      <c r="S220"/>
      <c r="T220"/>
      <c r="U220"/>
      <c r="V220" s="152"/>
    </row>
    <row r="221" spans="1:22" s="1" customFormat="1" ht="30">
      <c r="A221">
        <v>220</v>
      </c>
      <c r="B221" s="45" t="s">
        <v>548</v>
      </c>
      <c r="C221">
        <v>2025</v>
      </c>
      <c r="D221" t="s">
        <v>274</v>
      </c>
      <c r="E221" s="141" t="s">
        <v>632</v>
      </c>
      <c r="F221" t="s">
        <v>48</v>
      </c>
      <c r="G221" t="s">
        <v>423</v>
      </c>
      <c r="H221" t="s">
        <v>112</v>
      </c>
      <c r="I221" s="147">
        <v>119000000</v>
      </c>
      <c r="J221" t="s">
        <v>28</v>
      </c>
      <c r="K221" t="s">
        <v>29</v>
      </c>
      <c r="L221" s="141" t="s">
        <v>566</v>
      </c>
      <c r="M221" s="141" t="s">
        <v>633</v>
      </c>
      <c r="N221" s="142" t="s">
        <v>634</v>
      </c>
      <c r="O221" t="s">
        <v>31</v>
      </c>
      <c r="P221" t="s">
        <v>32</v>
      </c>
      <c r="Q221"/>
      <c r="R221"/>
      <c r="S221"/>
      <c r="T221"/>
      <c r="U221"/>
      <c r="V221" s="152"/>
    </row>
    <row r="222" spans="1:22" s="1" customFormat="1">
      <c r="A222">
        <v>221</v>
      </c>
      <c r="B222" s="51" t="s">
        <v>635</v>
      </c>
      <c r="C222">
        <v>2025</v>
      </c>
      <c r="D222" t="s">
        <v>274</v>
      </c>
      <c r="E222" s="141" t="s">
        <v>568</v>
      </c>
      <c r="F222" t="s">
        <v>48</v>
      </c>
      <c r="G222" t="s">
        <v>423</v>
      </c>
      <c r="H222" t="s">
        <v>112</v>
      </c>
      <c r="I222" s="147">
        <v>227360000</v>
      </c>
      <c r="J222" t="s">
        <v>28</v>
      </c>
      <c r="K222" t="s">
        <v>29</v>
      </c>
      <c r="L222" s="141" t="s">
        <v>55</v>
      </c>
      <c r="M222" s="148">
        <v>45784</v>
      </c>
      <c r="N222" s="148">
        <v>45821</v>
      </c>
      <c r="O222" t="s">
        <v>31</v>
      </c>
      <c r="P222" t="s">
        <v>32</v>
      </c>
      <c r="Q222"/>
      <c r="R222"/>
      <c r="S222"/>
      <c r="T222"/>
      <c r="U222"/>
      <c r="V222" s="152"/>
    </row>
    <row r="223" spans="1:22" s="1" customFormat="1" ht="30">
      <c r="A223">
        <v>222</v>
      </c>
      <c r="B223" s="25" t="s">
        <v>636</v>
      </c>
      <c r="C223">
        <v>2025</v>
      </c>
      <c r="D223" t="s">
        <v>274</v>
      </c>
      <c r="E223" s="141" t="s">
        <v>532</v>
      </c>
      <c r="F223" t="s">
        <v>25</v>
      </c>
      <c r="G223" t="s">
        <v>513</v>
      </c>
      <c r="H223" t="s">
        <v>533</v>
      </c>
      <c r="I223" s="147">
        <v>159970000</v>
      </c>
      <c r="J223" s="141" t="s">
        <v>637</v>
      </c>
      <c r="K223" t="s">
        <v>29</v>
      </c>
      <c r="L223" s="141" t="s">
        <v>492</v>
      </c>
      <c r="M223" s="148">
        <v>45739</v>
      </c>
      <c r="N223" s="142" t="s">
        <v>638</v>
      </c>
      <c r="O223" t="s">
        <v>69</v>
      </c>
      <c r="P223" t="s">
        <v>32</v>
      </c>
      <c r="Q223"/>
      <c r="R223"/>
      <c r="S223"/>
      <c r="T223"/>
      <c r="U223"/>
      <c r="V223" s="152"/>
    </row>
    <row r="224" spans="1:22" s="1" customFormat="1" ht="30">
      <c r="A224">
        <v>223</v>
      </c>
      <c r="B224" s="141" t="s">
        <v>559</v>
      </c>
      <c r="C224">
        <v>2025</v>
      </c>
      <c r="D224" t="s">
        <v>274</v>
      </c>
      <c r="E224" s="142" t="s">
        <v>639</v>
      </c>
      <c r="F224" t="s">
        <v>48</v>
      </c>
      <c r="G224" t="s">
        <v>423</v>
      </c>
      <c r="H224" t="s">
        <v>561</v>
      </c>
      <c r="I224" s="147">
        <v>755500000</v>
      </c>
      <c r="J224" t="s">
        <v>28</v>
      </c>
      <c r="K224" t="s">
        <v>29</v>
      </c>
      <c r="L224" s="142" t="s">
        <v>640</v>
      </c>
      <c r="M224" s="142" t="s">
        <v>641</v>
      </c>
      <c r="N224" s="148">
        <v>45813</v>
      </c>
      <c r="O224" t="s">
        <v>69</v>
      </c>
      <c r="P224" t="s">
        <v>32</v>
      </c>
      <c r="Q224"/>
      <c r="R224"/>
      <c r="S224"/>
      <c r="T224"/>
      <c r="U224"/>
      <c r="V224" s="152"/>
    </row>
    <row r="225" spans="1:22" s="1" customFormat="1">
      <c r="A225">
        <v>224</v>
      </c>
      <c r="B225" s="12" t="s">
        <v>642</v>
      </c>
      <c r="C225">
        <v>2025</v>
      </c>
      <c r="D225" t="s">
        <v>274</v>
      </c>
      <c r="E225" t="s">
        <v>643</v>
      </c>
      <c r="F225" t="s">
        <v>25</v>
      </c>
      <c r="G225" t="s">
        <v>644</v>
      </c>
      <c r="H225"/>
      <c r="I225" s="17"/>
      <c r="J225"/>
      <c r="K225"/>
      <c r="L225"/>
      <c r="M225"/>
      <c r="N225"/>
      <c r="O225"/>
      <c r="P225"/>
      <c r="Q225"/>
      <c r="R225"/>
      <c r="S225"/>
      <c r="T225"/>
      <c r="U225"/>
      <c r="V225" s="152"/>
    </row>
    <row r="226" spans="1:22" s="1" customFormat="1" ht="30.75">
      <c r="A226">
        <v>225</v>
      </c>
      <c r="B226" s="45" t="s">
        <v>598</v>
      </c>
      <c r="C226">
        <v>2025</v>
      </c>
      <c r="D226" t="s">
        <v>274</v>
      </c>
      <c r="E226" s="44" t="s">
        <v>645</v>
      </c>
      <c r="F226" t="s">
        <v>25</v>
      </c>
      <c r="G226" t="s">
        <v>423</v>
      </c>
      <c r="H226" t="s">
        <v>621</v>
      </c>
      <c r="I226" s="147">
        <v>6324850000</v>
      </c>
      <c r="J226" t="s">
        <v>420</v>
      </c>
      <c r="K226" t="s">
        <v>29</v>
      </c>
      <c r="L226" s="141" t="s">
        <v>603</v>
      </c>
      <c r="M226" s="148">
        <v>45846</v>
      </c>
      <c r="N226" s="148">
        <v>45897</v>
      </c>
      <c r="O226" t="s">
        <v>69</v>
      </c>
      <c r="P226" t="s">
        <v>32</v>
      </c>
      <c r="Q226"/>
      <c r="R226"/>
      <c r="S226"/>
      <c r="T226"/>
      <c r="U226"/>
      <c r="V226" s="152"/>
    </row>
    <row r="227" spans="1:22" s="1" customFormat="1" ht="30">
      <c r="A227">
        <v>226</v>
      </c>
      <c r="B227" s="63" t="s">
        <v>646</v>
      </c>
      <c r="C227">
        <v>2025</v>
      </c>
      <c r="D227" t="s">
        <v>303</v>
      </c>
      <c r="E227" s="141" t="s">
        <v>647</v>
      </c>
      <c r="F227" t="s">
        <v>48</v>
      </c>
      <c r="G227" t="s">
        <v>423</v>
      </c>
      <c r="H227" t="s">
        <v>112</v>
      </c>
      <c r="I227" s="147">
        <v>151100000</v>
      </c>
      <c r="J227" t="s">
        <v>28</v>
      </c>
      <c r="K227" t="s">
        <v>29</v>
      </c>
      <c r="L227" s="141" t="s">
        <v>648</v>
      </c>
      <c r="M227" s="148">
        <v>45868</v>
      </c>
      <c r="N227" s="142" t="s">
        <v>649</v>
      </c>
      <c r="O227" t="s">
        <v>31</v>
      </c>
      <c r="P227" t="s">
        <v>32</v>
      </c>
      <c r="Q227"/>
      <c r="R227"/>
      <c r="S227"/>
      <c r="T227"/>
      <c r="U227"/>
      <c r="V227" s="152"/>
    </row>
    <row r="228" spans="1:22" s="1" customFormat="1" ht="30">
      <c r="A228">
        <v>227</v>
      </c>
      <c r="B228" s="45" t="s">
        <v>650</v>
      </c>
      <c r="C228">
        <v>2025</v>
      </c>
      <c r="D228" t="s">
        <v>303</v>
      </c>
      <c r="E228" s="141" t="s">
        <v>651</v>
      </c>
      <c r="F228" t="s">
        <v>25</v>
      </c>
      <c r="G228" t="s">
        <v>421</v>
      </c>
      <c r="H228" t="s">
        <v>87</v>
      </c>
      <c r="I228" s="147">
        <v>167117118</v>
      </c>
      <c r="J228" s="141" t="s">
        <v>652</v>
      </c>
      <c r="K228" t="s">
        <v>29</v>
      </c>
      <c r="L228" s="142" t="s">
        <v>653</v>
      </c>
      <c r="M228" s="148">
        <v>45755</v>
      </c>
      <c r="N228" s="148">
        <v>45862</v>
      </c>
      <c r="O228" t="s">
        <v>69</v>
      </c>
      <c r="P228" t="s">
        <v>32</v>
      </c>
      <c r="Q228"/>
      <c r="R228"/>
      <c r="S228"/>
      <c r="T228"/>
      <c r="U228"/>
      <c r="V228" s="152"/>
    </row>
    <row r="229" spans="1:22" s="1" customFormat="1">
      <c r="A229">
        <v>228</v>
      </c>
      <c r="B229" s="102" t="s">
        <v>654</v>
      </c>
      <c r="C229">
        <v>2025</v>
      </c>
      <c r="D229" t="s">
        <v>303</v>
      </c>
      <c r="E229" s="141" t="s">
        <v>583</v>
      </c>
      <c r="F229" t="s">
        <v>48</v>
      </c>
      <c r="G229" t="s">
        <v>128</v>
      </c>
      <c r="H229" t="s">
        <v>252</v>
      </c>
      <c r="I229" s="147">
        <v>116000000</v>
      </c>
      <c r="J229" t="s">
        <v>28</v>
      </c>
      <c r="K229" t="s">
        <v>29</v>
      </c>
      <c r="L229" s="141" t="s">
        <v>365</v>
      </c>
      <c r="M229" s="148">
        <v>45826</v>
      </c>
      <c r="N229" s="148">
        <v>45866</v>
      </c>
      <c r="O229" t="s">
        <v>31</v>
      </c>
      <c r="P229" t="s">
        <v>32</v>
      </c>
      <c r="Q229"/>
      <c r="R229"/>
      <c r="S229"/>
      <c r="T229"/>
      <c r="U229"/>
      <c r="V229" s="152"/>
    </row>
    <row r="230" spans="1:22" s="1" customFormat="1">
      <c r="A230">
        <v>229</v>
      </c>
      <c r="B230" s="51" t="s">
        <v>655</v>
      </c>
      <c r="C230">
        <v>2025</v>
      </c>
      <c r="D230" t="s">
        <v>303</v>
      </c>
      <c r="E230" s="141" t="s">
        <v>656</v>
      </c>
      <c r="F230" t="s">
        <v>48</v>
      </c>
      <c r="G230" t="s">
        <v>421</v>
      </c>
      <c r="H230" t="s">
        <v>657</v>
      </c>
      <c r="I230" s="147">
        <v>133400000</v>
      </c>
      <c r="J230" s="141" t="s">
        <v>658</v>
      </c>
      <c r="K230" t="s">
        <v>29</v>
      </c>
      <c r="L230" s="141" t="s">
        <v>615</v>
      </c>
      <c r="M230" s="141" t="s">
        <v>659</v>
      </c>
      <c r="N230" s="149">
        <v>45912</v>
      </c>
      <c r="O230" t="s">
        <v>31</v>
      </c>
      <c r="P230" t="s">
        <v>32</v>
      </c>
      <c r="Q230"/>
      <c r="R230"/>
      <c r="S230"/>
      <c r="T230"/>
      <c r="U230"/>
      <c r="V230" s="152"/>
    </row>
    <row r="231" spans="1:22" s="1" customFormat="1" ht="30">
      <c r="A231">
        <v>230</v>
      </c>
      <c r="B231" s="51" t="s">
        <v>660</v>
      </c>
      <c r="C231">
        <v>2025</v>
      </c>
      <c r="D231" t="s">
        <v>303</v>
      </c>
      <c r="E231" s="141" t="s">
        <v>661</v>
      </c>
      <c r="F231" t="s">
        <v>25</v>
      </c>
      <c r="G231" t="s">
        <v>421</v>
      </c>
      <c r="H231" t="s">
        <v>87</v>
      </c>
      <c r="I231" s="147">
        <v>180300000</v>
      </c>
      <c r="J231" t="s">
        <v>28</v>
      </c>
      <c r="K231" t="s">
        <v>29</v>
      </c>
      <c r="L231" s="141" t="s">
        <v>55</v>
      </c>
      <c r="M231" s="148">
        <v>45883</v>
      </c>
      <c r="N231" s="142" t="s">
        <v>662</v>
      </c>
      <c r="O231" t="s">
        <v>31</v>
      </c>
      <c r="P231" t="s">
        <v>32</v>
      </c>
      <c r="Q231"/>
      <c r="R231"/>
      <c r="S231"/>
      <c r="T231"/>
      <c r="U231"/>
      <c r="V231" s="152"/>
    </row>
    <row r="232" spans="1:22" s="1" customFormat="1" ht="30">
      <c r="A232">
        <v>231</v>
      </c>
      <c r="B232" s="12" t="s">
        <v>663</v>
      </c>
      <c r="C232">
        <v>2025</v>
      </c>
      <c r="D232" t="s">
        <v>303</v>
      </c>
      <c r="E232" s="141" t="s">
        <v>664</v>
      </c>
      <c r="F232" t="s">
        <v>25</v>
      </c>
      <c r="G232" t="s">
        <v>421</v>
      </c>
      <c r="H232" t="s">
        <v>87</v>
      </c>
      <c r="I232" s="147">
        <v>292000000</v>
      </c>
      <c r="J232" t="s">
        <v>28</v>
      </c>
      <c r="K232" t="s">
        <v>29</v>
      </c>
      <c r="L232" s="141" t="s">
        <v>611</v>
      </c>
      <c r="M232" s="142" t="s">
        <v>665</v>
      </c>
      <c r="N232" s="148">
        <v>45919</v>
      </c>
      <c r="O232" t="s">
        <v>69</v>
      </c>
      <c r="P232" t="s">
        <v>32</v>
      </c>
      <c r="Q232"/>
      <c r="R232"/>
      <c r="S232"/>
      <c r="T232"/>
      <c r="U232"/>
      <c r="V232" s="152"/>
    </row>
    <row r="233" spans="1:22" s="1" customFormat="1">
      <c r="A233">
        <v>232</v>
      </c>
      <c r="B233" s="12" t="s">
        <v>666</v>
      </c>
      <c r="C233">
        <v>2025</v>
      </c>
      <c r="D233" t="s">
        <v>303</v>
      </c>
      <c r="E233" s="141" t="s">
        <v>667</v>
      </c>
      <c r="F233" t="s">
        <v>25</v>
      </c>
      <c r="G233" t="s">
        <v>443</v>
      </c>
      <c r="H233" t="s">
        <v>27</v>
      </c>
      <c r="I233" s="147">
        <v>7556181887</v>
      </c>
      <c r="J233" s="141" t="s">
        <v>668</v>
      </c>
      <c r="K233" t="s">
        <v>67</v>
      </c>
      <c r="L233" s="141" t="s">
        <v>589</v>
      </c>
      <c r="M233" s="150">
        <v>45714</v>
      </c>
      <c r="N233" s="148">
        <v>45968</v>
      </c>
      <c r="O233" t="s">
        <v>31</v>
      </c>
      <c r="P233" t="s">
        <v>460</v>
      </c>
      <c r="Q233"/>
      <c r="R233"/>
      <c r="S233"/>
      <c r="T233" t="s">
        <v>460</v>
      </c>
      <c r="U233" t="s">
        <v>669</v>
      </c>
      <c r="V233" s="152" t="s">
        <v>525</v>
      </c>
    </row>
    <row r="234" spans="1:22" s="1" customFormat="1" ht="30">
      <c r="A234">
        <v>233</v>
      </c>
      <c r="B234" s="45" t="s">
        <v>670</v>
      </c>
      <c r="C234">
        <v>2025</v>
      </c>
      <c r="D234" t="s">
        <v>303</v>
      </c>
      <c r="E234" s="142" t="s">
        <v>671</v>
      </c>
      <c r="F234" t="s">
        <v>25</v>
      </c>
      <c r="G234" t="s">
        <v>443</v>
      </c>
      <c r="H234" t="s">
        <v>41</v>
      </c>
      <c r="I234" s="147">
        <v>400800000</v>
      </c>
      <c r="J234" s="141" t="s">
        <v>652</v>
      </c>
      <c r="K234" t="s">
        <v>29</v>
      </c>
      <c r="L234" s="142" t="s">
        <v>672</v>
      </c>
      <c r="M234" s="141" t="s">
        <v>673</v>
      </c>
      <c r="N234" s="148">
        <v>45922</v>
      </c>
      <c r="O234" t="s">
        <v>69</v>
      </c>
      <c r="P234" t="s">
        <v>32</v>
      </c>
      <c r="Q234"/>
      <c r="R234"/>
      <c r="S234"/>
      <c r="T234"/>
      <c r="U234"/>
      <c r="V234" s="152"/>
    </row>
    <row r="235" spans="1:22" s="1" customFormat="1">
      <c r="A235">
        <v>234</v>
      </c>
      <c r="B235" s="141" t="s">
        <v>674</v>
      </c>
      <c r="C235">
        <v>2025</v>
      </c>
      <c r="D235" t="s">
        <v>303</v>
      </c>
      <c r="E235" s="141" t="s">
        <v>675</v>
      </c>
      <c r="F235" t="s">
        <v>25</v>
      </c>
      <c r="G235" t="s">
        <v>128</v>
      </c>
      <c r="H235" t="s">
        <v>252</v>
      </c>
      <c r="I235" s="147">
        <v>13110262216</v>
      </c>
      <c r="J235" s="141" t="s">
        <v>614</v>
      </c>
      <c r="K235" t="s">
        <v>67</v>
      </c>
      <c r="L235" s="141" t="s">
        <v>391</v>
      </c>
      <c r="M235" s="148">
        <v>45884</v>
      </c>
      <c r="N235" s="148">
        <v>45904</v>
      </c>
      <c r="O235" t="s">
        <v>31</v>
      </c>
      <c r="P235"/>
      <c r="Q235"/>
      <c r="R235"/>
      <c r="S235"/>
      <c r="T235"/>
      <c r="U235"/>
      <c r="V235" s="152"/>
    </row>
    <row r="236" spans="1:22" s="1" customFormat="1">
      <c r="A236">
        <v>235</v>
      </c>
      <c r="B236" s="12" t="s">
        <v>676</v>
      </c>
      <c r="C236">
        <v>2025</v>
      </c>
      <c r="D236" t="s">
        <v>303</v>
      </c>
      <c r="E236" s="141" t="s">
        <v>677</v>
      </c>
      <c r="F236" t="s">
        <v>25</v>
      </c>
      <c r="G236" t="s">
        <v>443</v>
      </c>
      <c r="H236" t="s">
        <v>123</v>
      </c>
      <c r="I236" s="147">
        <v>465767585</v>
      </c>
      <c r="J236" s="141" t="s">
        <v>596</v>
      </c>
      <c r="K236" t="s">
        <v>67</v>
      </c>
      <c r="L236" s="141" t="s">
        <v>678</v>
      </c>
      <c r="M236" s="148">
        <v>45891</v>
      </c>
      <c r="N236" s="148">
        <v>45944</v>
      </c>
      <c r="O236" t="s">
        <v>31</v>
      </c>
      <c r="P236" t="s">
        <v>32</v>
      </c>
      <c r="Q236"/>
      <c r="R236"/>
      <c r="S236"/>
      <c r="T236"/>
      <c r="U236"/>
      <c r="V236" s="152"/>
    </row>
    <row r="237" spans="1:22" s="1" customFormat="1" ht="30">
      <c r="A237">
        <v>236</v>
      </c>
      <c r="B237" s="130" t="s">
        <v>511</v>
      </c>
      <c r="C237">
        <v>2025</v>
      </c>
      <c r="D237" t="s">
        <v>338</v>
      </c>
      <c r="E237" s="141" t="s">
        <v>512</v>
      </c>
      <c r="F237" t="s">
        <v>25</v>
      </c>
      <c r="G237" t="s">
        <v>513</v>
      </c>
      <c r="H237" t="s">
        <v>514</v>
      </c>
      <c r="I237" s="147">
        <v>1862228078</v>
      </c>
      <c r="J237" t="s">
        <v>28</v>
      </c>
      <c r="K237" t="s">
        <v>29</v>
      </c>
      <c r="L237" s="142" t="s">
        <v>640</v>
      </c>
      <c r="M237" s="148">
        <v>45678</v>
      </c>
      <c r="N237" s="148">
        <v>45939</v>
      </c>
      <c r="O237" t="s">
        <v>51</v>
      </c>
      <c r="P237" t="s">
        <v>32</v>
      </c>
      <c r="Q237"/>
      <c r="R237"/>
      <c r="S237"/>
      <c r="T237"/>
      <c r="U237"/>
      <c r="V237" s="152"/>
    </row>
    <row r="238" spans="1:22" s="1" customFormat="1" ht="30">
      <c r="A238">
        <v>237</v>
      </c>
      <c r="B238" s="45" t="s">
        <v>679</v>
      </c>
      <c r="C238">
        <v>2025</v>
      </c>
      <c r="D238" t="s">
        <v>338</v>
      </c>
      <c r="E238" s="141" t="s">
        <v>680</v>
      </c>
      <c r="F238" t="s">
        <v>48</v>
      </c>
      <c r="G238" t="s">
        <v>423</v>
      </c>
      <c r="H238" t="s">
        <v>112</v>
      </c>
      <c r="I238" s="147">
        <v>151100000</v>
      </c>
      <c r="J238" t="s">
        <v>28</v>
      </c>
      <c r="K238" t="s">
        <v>29</v>
      </c>
      <c r="L238" s="141" t="s">
        <v>648</v>
      </c>
      <c r="M238" s="142" t="s">
        <v>681</v>
      </c>
      <c r="N238" s="148">
        <v>45901</v>
      </c>
      <c r="O238" t="s">
        <v>31</v>
      </c>
      <c r="P238" t="s">
        <v>32</v>
      </c>
      <c r="Q238"/>
      <c r="R238"/>
      <c r="S238"/>
      <c r="T238"/>
      <c r="U238"/>
      <c r="V238" s="152"/>
    </row>
    <row r="239" spans="1:22" s="1" customFormat="1" ht="30">
      <c r="A239">
        <v>238</v>
      </c>
      <c r="B239" s="45" t="s">
        <v>682</v>
      </c>
      <c r="C239">
        <v>2025</v>
      </c>
      <c r="D239" t="s">
        <v>338</v>
      </c>
      <c r="E239" s="141" t="s">
        <v>683</v>
      </c>
      <c r="F239" t="s">
        <v>25</v>
      </c>
      <c r="G239" t="s">
        <v>423</v>
      </c>
      <c r="H239" t="s">
        <v>621</v>
      </c>
      <c r="I239" s="147">
        <v>5964430197.1000004</v>
      </c>
      <c r="J239" s="141" t="s">
        <v>596</v>
      </c>
      <c r="K239" t="s">
        <v>67</v>
      </c>
      <c r="L239" s="142" t="s">
        <v>684</v>
      </c>
      <c r="M239" s="148">
        <v>45772</v>
      </c>
      <c r="N239" s="148">
        <v>45807</v>
      </c>
      <c r="O239" t="s">
        <v>69</v>
      </c>
      <c r="P239" t="s">
        <v>32</v>
      </c>
      <c r="Q239"/>
      <c r="R239"/>
      <c r="S239"/>
      <c r="T239"/>
      <c r="U239"/>
      <c r="V239" s="152"/>
    </row>
    <row r="240" spans="1:22" s="1" customFormat="1">
      <c r="A240">
        <v>239</v>
      </c>
      <c r="B240" s="141" t="s">
        <v>685</v>
      </c>
      <c r="C240">
        <v>2025</v>
      </c>
      <c r="D240" t="s">
        <v>338</v>
      </c>
      <c r="E240" s="141" t="s">
        <v>686</v>
      </c>
      <c r="F240" t="s">
        <v>48</v>
      </c>
      <c r="G240" t="s">
        <v>421</v>
      </c>
      <c r="H240" t="s">
        <v>657</v>
      </c>
      <c r="I240" s="147">
        <v>112000000</v>
      </c>
      <c r="J240" s="141" t="s">
        <v>614</v>
      </c>
      <c r="K240" t="s">
        <v>29</v>
      </c>
      <c r="L240" s="141" t="s">
        <v>64</v>
      </c>
      <c r="M240" s="148">
        <v>45908</v>
      </c>
      <c r="N240" s="148">
        <v>45936</v>
      </c>
      <c r="O240" t="s">
        <v>69</v>
      </c>
      <c r="P240" t="s">
        <v>32</v>
      </c>
      <c r="Q240"/>
      <c r="R240"/>
      <c r="S240"/>
      <c r="T240"/>
      <c r="U240"/>
      <c r="V240" s="152"/>
    </row>
    <row r="241" spans="1:22" s="1" customFormat="1" ht="30.75">
      <c r="A241">
        <v>240</v>
      </c>
      <c r="B241" s="45" t="s">
        <v>687</v>
      </c>
      <c r="C241">
        <v>2025</v>
      </c>
      <c r="D241" t="s">
        <v>338</v>
      </c>
      <c r="E241" s="44" t="s">
        <v>688</v>
      </c>
      <c r="F241" t="s">
        <v>25</v>
      </c>
      <c r="G241" t="s">
        <v>423</v>
      </c>
      <c r="H241" t="s">
        <v>179</v>
      </c>
      <c r="I241" s="147">
        <v>93247612776</v>
      </c>
      <c r="J241" s="141" t="s">
        <v>614</v>
      </c>
      <c r="K241" t="s">
        <v>43</v>
      </c>
      <c r="L241" s="141" t="s">
        <v>689</v>
      </c>
      <c r="M241" s="142" t="s">
        <v>690</v>
      </c>
      <c r="N241" s="148">
        <v>46020</v>
      </c>
      <c r="O241" t="s">
        <v>31</v>
      </c>
      <c r="P241" t="s">
        <v>32</v>
      </c>
      <c r="Q241"/>
      <c r="R241"/>
      <c r="S241"/>
      <c r="T241"/>
      <c r="U241"/>
      <c r="V241" s="152"/>
    </row>
    <row r="242" spans="1:22" s="1" customFormat="1" ht="30">
      <c r="A242">
        <v>241</v>
      </c>
      <c r="B242" s="12" t="s">
        <v>691</v>
      </c>
      <c r="C242">
        <v>2025</v>
      </c>
      <c r="D242" t="s">
        <v>338</v>
      </c>
      <c r="E242" s="141" t="s">
        <v>692</v>
      </c>
      <c r="F242" t="s">
        <v>48</v>
      </c>
      <c r="G242" t="s">
        <v>421</v>
      </c>
      <c r="H242" t="s">
        <v>657</v>
      </c>
      <c r="I242" s="147">
        <v>99500000</v>
      </c>
      <c r="J242" s="141" t="s">
        <v>596</v>
      </c>
      <c r="K242" t="s">
        <v>29</v>
      </c>
      <c r="L242" s="142" t="s">
        <v>693</v>
      </c>
      <c r="M242" s="148">
        <v>45910</v>
      </c>
      <c r="N242" s="148">
        <v>45945</v>
      </c>
      <c r="O242" t="s">
        <v>69</v>
      </c>
      <c r="P242" t="s">
        <v>32</v>
      </c>
      <c r="Q242"/>
      <c r="R242"/>
      <c r="S242"/>
      <c r="T242"/>
      <c r="U242" t="s">
        <v>694</v>
      </c>
      <c r="V242" s="152"/>
    </row>
    <row r="243" spans="1:22" s="1" customFormat="1" ht="30">
      <c r="A243">
        <v>242</v>
      </c>
      <c r="B243" s="45" t="s">
        <v>695</v>
      </c>
      <c r="C243">
        <v>2025</v>
      </c>
      <c r="D243" t="s">
        <v>338</v>
      </c>
      <c r="E243" s="141" t="s">
        <v>432</v>
      </c>
      <c r="F243" s="141" t="s">
        <v>25</v>
      </c>
      <c r="G243" t="s">
        <v>35</v>
      </c>
      <c r="H243" t="s">
        <v>155</v>
      </c>
      <c r="I243" s="147">
        <v>24644889555</v>
      </c>
      <c r="J243" s="141" t="s">
        <v>614</v>
      </c>
      <c r="K243" t="s">
        <v>67</v>
      </c>
      <c r="L243" s="142" t="s">
        <v>696</v>
      </c>
      <c r="M243" s="141" t="s">
        <v>697</v>
      </c>
      <c r="N243" s="142" t="s">
        <v>698</v>
      </c>
      <c r="O243" t="s">
        <v>45</v>
      </c>
      <c r="P243" t="s">
        <v>32</v>
      </c>
      <c r="Q243"/>
      <c r="R243"/>
      <c r="S243"/>
      <c r="T243"/>
      <c r="U243"/>
      <c r="V243" s="152"/>
    </row>
    <row r="244" spans="1:22" s="1" customFormat="1">
      <c r="A244">
        <v>243</v>
      </c>
      <c r="B244" s="12" t="s">
        <v>699</v>
      </c>
      <c r="C244">
        <v>2025</v>
      </c>
      <c r="D244" t="s">
        <v>338</v>
      </c>
      <c r="E244" s="141" t="s">
        <v>700</v>
      </c>
      <c r="F244" t="s">
        <v>25</v>
      </c>
      <c r="G244" t="s">
        <v>443</v>
      </c>
      <c r="H244" t="s">
        <v>123</v>
      </c>
      <c r="I244" s="147">
        <v>340523439</v>
      </c>
      <c r="J244" s="141" t="s">
        <v>701</v>
      </c>
      <c r="K244" t="s">
        <v>29</v>
      </c>
      <c r="L244" s="141" t="s">
        <v>530</v>
      </c>
      <c r="M244" s="148">
        <v>45907</v>
      </c>
      <c r="N244" s="148">
        <v>45936</v>
      </c>
      <c r="O244" t="s">
        <v>69</v>
      </c>
      <c r="P244" t="s">
        <v>32</v>
      </c>
      <c r="Q244"/>
      <c r="R244"/>
      <c r="S244"/>
      <c r="T244"/>
      <c r="U244"/>
      <c r="V244" s="152"/>
    </row>
    <row r="245" spans="1:22" s="1" customFormat="1" ht="30">
      <c r="A245">
        <v>244</v>
      </c>
      <c r="B245" s="12" t="s">
        <v>702</v>
      </c>
      <c r="C245">
        <v>2025</v>
      </c>
      <c r="D245" t="s">
        <v>358</v>
      </c>
      <c r="E245" s="141" t="s">
        <v>703</v>
      </c>
      <c r="F245" t="s">
        <v>25</v>
      </c>
      <c r="G245" t="s">
        <v>423</v>
      </c>
      <c r="H245" t="s">
        <v>621</v>
      </c>
      <c r="I245" s="147">
        <v>7363619862</v>
      </c>
      <c r="J245" s="141" t="s">
        <v>614</v>
      </c>
      <c r="K245" t="s">
        <v>67</v>
      </c>
      <c r="L245" s="142" t="s">
        <v>615</v>
      </c>
      <c r="M245" s="148">
        <v>45926</v>
      </c>
      <c r="N245" s="142" t="s">
        <v>704</v>
      </c>
      <c r="O245" t="s">
        <v>51</v>
      </c>
      <c r="P245" t="s">
        <v>32</v>
      </c>
      <c r="Q245"/>
      <c r="R245"/>
      <c r="S245" t="s">
        <v>460</v>
      </c>
      <c r="T245"/>
      <c r="U245" t="s">
        <v>705</v>
      </c>
      <c r="V245" s="152"/>
    </row>
    <row r="246" spans="1:22" s="1" customFormat="1" ht="45.75">
      <c r="A246">
        <v>245</v>
      </c>
      <c r="B246" s="63" t="s">
        <v>706</v>
      </c>
      <c r="C246">
        <v>2025</v>
      </c>
      <c r="D246" t="s">
        <v>358</v>
      </c>
      <c r="E246" s="138" t="s">
        <v>707</v>
      </c>
      <c r="F246" t="s">
        <v>25</v>
      </c>
      <c r="G246" t="s">
        <v>128</v>
      </c>
      <c r="H246" t="s">
        <v>252</v>
      </c>
      <c r="I246" s="147">
        <v>184800000</v>
      </c>
      <c r="J246" s="141" t="s">
        <v>614</v>
      </c>
      <c r="K246" t="s">
        <v>29</v>
      </c>
      <c r="L246" s="142" t="s">
        <v>708</v>
      </c>
      <c r="M246" s="141" t="s">
        <v>709</v>
      </c>
      <c r="N246" s="142" t="s">
        <v>710</v>
      </c>
      <c r="O246" t="s">
        <v>31</v>
      </c>
      <c r="P246" t="s">
        <v>32</v>
      </c>
      <c r="Q246"/>
      <c r="R246"/>
      <c r="S246"/>
      <c r="T246"/>
      <c r="U246"/>
      <c r="V246" s="152"/>
    </row>
    <row r="247" spans="1:22" s="1" customFormat="1" ht="30">
      <c r="A247">
        <v>246</v>
      </c>
      <c r="B247" s="141" t="s">
        <v>711</v>
      </c>
      <c r="C247">
        <v>2025</v>
      </c>
      <c r="D247" t="s">
        <v>358</v>
      </c>
      <c r="E247" s="139" t="s">
        <v>712</v>
      </c>
      <c r="F247" t="s">
        <v>25</v>
      </c>
      <c r="G247" t="s">
        <v>421</v>
      </c>
      <c r="H247" t="s">
        <v>422</v>
      </c>
      <c r="I247" s="147">
        <v>489200000</v>
      </c>
      <c r="J247" s="141" t="s">
        <v>614</v>
      </c>
      <c r="K247" t="s">
        <v>67</v>
      </c>
      <c r="L247" s="141" t="s">
        <v>391</v>
      </c>
      <c r="M247" s="148">
        <v>45931</v>
      </c>
      <c r="N247" s="148">
        <v>45975</v>
      </c>
      <c r="O247" t="s">
        <v>45</v>
      </c>
      <c r="P247" t="s">
        <v>32</v>
      </c>
      <c r="Q247"/>
      <c r="R247"/>
      <c r="S247"/>
      <c r="T247"/>
      <c r="U247"/>
      <c r="V247" s="152"/>
    </row>
    <row r="248" spans="1:22" s="1" customFormat="1">
      <c r="A248">
        <v>247</v>
      </c>
      <c r="B248" s="45" t="s">
        <v>713</v>
      </c>
      <c r="C248">
        <v>2025</v>
      </c>
      <c r="D248" t="s">
        <v>358</v>
      </c>
      <c r="E248" s="138" t="s">
        <v>714</v>
      </c>
      <c r="F248" t="s">
        <v>25</v>
      </c>
      <c r="G248" t="s">
        <v>595</v>
      </c>
      <c r="H248" t="s">
        <v>49</v>
      </c>
      <c r="I248" s="147">
        <v>794610810</v>
      </c>
      <c r="J248" s="141" t="s">
        <v>596</v>
      </c>
      <c r="K248" t="s">
        <v>29</v>
      </c>
      <c r="L248" s="141" t="s">
        <v>678</v>
      </c>
      <c r="M248" s="148">
        <v>45925</v>
      </c>
      <c r="N248" s="148">
        <v>45961</v>
      </c>
      <c r="O248" t="s">
        <v>69</v>
      </c>
      <c r="P248" t="s">
        <v>460</v>
      </c>
      <c r="Q248"/>
      <c r="R248"/>
      <c r="S248" t="s">
        <v>460</v>
      </c>
      <c r="T248"/>
      <c r="U248" t="s">
        <v>715</v>
      </c>
      <c r="V248" s="152"/>
    </row>
    <row r="249" spans="1:22" s="1" customFormat="1" ht="30">
      <c r="A249">
        <v>248</v>
      </c>
      <c r="B249" s="12" t="s">
        <v>716</v>
      </c>
      <c r="C249">
        <v>2025</v>
      </c>
      <c r="D249" t="s">
        <v>358</v>
      </c>
      <c r="E249" s="139" t="s">
        <v>717</v>
      </c>
      <c r="F249" t="s">
        <v>25</v>
      </c>
      <c r="G249" t="s">
        <v>423</v>
      </c>
      <c r="H249" t="s">
        <v>123</v>
      </c>
      <c r="I249" s="147">
        <v>852356803.20000005</v>
      </c>
      <c r="J249" t="s">
        <v>28</v>
      </c>
      <c r="K249" t="s">
        <v>67</v>
      </c>
      <c r="L249" s="141" t="s">
        <v>622</v>
      </c>
      <c r="M249" s="148">
        <v>45933</v>
      </c>
      <c r="N249" s="148">
        <v>46038</v>
      </c>
      <c r="O249" t="s">
        <v>69</v>
      </c>
      <c r="P249" t="s">
        <v>460</v>
      </c>
      <c r="Q249" t="s">
        <v>460</v>
      </c>
      <c r="R249"/>
      <c r="S249"/>
      <c r="T249"/>
      <c r="U249" t="s">
        <v>718</v>
      </c>
      <c r="V249" s="152"/>
    </row>
    <row r="250" spans="1:22" s="1" customFormat="1" ht="30">
      <c r="A250">
        <v>249</v>
      </c>
      <c r="B250" s="12" t="s">
        <v>719</v>
      </c>
      <c r="C250">
        <v>2025</v>
      </c>
      <c r="D250" s="45" t="s">
        <v>358</v>
      </c>
      <c r="E250" s="138" t="s">
        <v>720</v>
      </c>
      <c r="F250" t="s">
        <v>25</v>
      </c>
      <c r="G250" t="s">
        <v>443</v>
      </c>
      <c r="H250" t="s">
        <v>27</v>
      </c>
      <c r="I250" s="147">
        <v>1256340000</v>
      </c>
      <c r="J250" t="s">
        <v>28</v>
      </c>
      <c r="K250" t="s">
        <v>67</v>
      </c>
      <c r="L250" s="141" t="s">
        <v>607</v>
      </c>
      <c r="M250" s="148">
        <v>45929</v>
      </c>
      <c r="N250" s="142" t="s">
        <v>721</v>
      </c>
      <c r="O250" t="s">
        <v>51</v>
      </c>
      <c r="P250" t="s">
        <v>32</v>
      </c>
      <c r="Q250"/>
      <c r="R250"/>
      <c r="S250"/>
      <c r="T250"/>
      <c r="U250"/>
      <c r="V250" s="152"/>
    </row>
    <row r="251" spans="1:22" s="1" customFormat="1" ht="30">
      <c r="A251">
        <v>250</v>
      </c>
      <c r="B251" s="63" t="s">
        <v>722</v>
      </c>
      <c r="C251">
        <v>2025</v>
      </c>
      <c r="D251" s="45" t="s">
        <v>358</v>
      </c>
      <c r="E251" s="139" t="s">
        <v>723</v>
      </c>
      <c r="F251" t="s">
        <v>48</v>
      </c>
      <c r="G251" t="s">
        <v>423</v>
      </c>
      <c r="H251" t="s">
        <v>112</v>
      </c>
      <c r="I251" s="147">
        <v>96440000</v>
      </c>
      <c r="J251" t="s">
        <v>28</v>
      </c>
      <c r="K251" t="s">
        <v>29</v>
      </c>
      <c r="L251" s="141" t="s">
        <v>611</v>
      </c>
      <c r="M251" s="148">
        <v>45937</v>
      </c>
      <c r="N251" s="142" t="s">
        <v>724</v>
      </c>
      <c r="O251" t="s">
        <v>45</v>
      </c>
      <c r="P251" t="s">
        <v>460</v>
      </c>
      <c r="Q251" t="s">
        <v>460</v>
      </c>
      <c r="R251"/>
      <c r="S251"/>
      <c r="T251"/>
      <c r="U251"/>
      <c r="V251" s="152"/>
    </row>
    <row r="252" spans="1:22" s="1" customFormat="1" ht="45.75">
      <c r="A252">
        <v>251</v>
      </c>
      <c r="B252" s="12" t="s">
        <v>725</v>
      </c>
      <c r="C252">
        <v>2025</v>
      </c>
      <c r="D252" s="45" t="s">
        <v>358</v>
      </c>
      <c r="E252" s="138" t="s">
        <v>726</v>
      </c>
      <c r="F252" t="s">
        <v>48</v>
      </c>
      <c r="G252" t="s">
        <v>421</v>
      </c>
      <c r="H252" t="s">
        <v>657</v>
      </c>
      <c r="I252" s="147">
        <v>560048000</v>
      </c>
      <c r="J252" s="141" t="s">
        <v>614</v>
      </c>
      <c r="K252" t="s">
        <v>29</v>
      </c>
      <c r="L252" s="142" t="s">
        <v>708</v>
      </c>
      <c r="M252" s="141" t="s">
        <v>727</v>
      </c>
      <c r="N252" s="148">
        <v>45975</v>
      </c>
      <c r="O252" t="s">
        <v>31</v>
      </c>
      <c r="P252" t="s">
        <v>32</v>
      </c>
      <c r="Q252"/>
      <c r="R252"/>
      <c r="S252"/>
      <c r="T252"/>
      <c r="U252"/>
      <c r="V252" s="152"/>
    </row>
    <row r="253" spans="1:22" s="1" customFormat="1">
      <c r="A253">
        <v>252</v>
      </c>
      <c r="B253" s="51" t="s">
        <v>728</v>
      </c>
      <c r="C253">
        <v>2025</v>
      </c>
      <c r="D253" s="45" t="s">
        <v>358</v>
      </c>
      <c r="E253" s="141" t="s">
        <v>729</v>
      </c>
      <c r="F253" t="s">
        <v>25</v>
      </c>
      <c r="G253" t="s">
        <v>421</v>
      </c>
      <c r="H253" t="s">
        <v>36</v>
      </c>
      <c r="I253" s="147">
        <v>246180295456</v>
      </c>
      <c r="J253" s="141" t="s">
        <v>614</v>
      </c>
      <c r="K253" t="s">
        <v>43</v>
      </c>
      <c r="L253" s="141" t="s">
        <v>434</v>
      </c>
      <c r="M253"/>
      <c r="N253"/>
      <c r="O253" t="s">
        <v>69</v>
      </c>
      <c r="P253" t="s">
        <v>460</v>
      </c>
      <c r="Q253" t="s">
        <v>460</v>
      </c>
      <c r="R253"/>
      <c r="S253"/>
      <c r="T253"/>
      <c r="U253" t="s">
        <v>730</v>
      </c>
      <c r="V253" s="152"/>
    </row>
    <row r="254" spans="1:22" s="1" customFormat="1" ht="30">
      <c r="A254">
        <v>253</v>
      </c>
      <c r="B254" s="141" t="s">
        <v>731</v>
      </c>
      <c r="C254">
        <v>2025</v>
      </c>
      <c r="D254" s="45" t="s">
        <v>358</v>
      </c>
      <c r="E254" s="141" t="s">
        <v>732</v>
      </c>
      <c r="F254" t="s">
        <v>25</v>
      </c>
      <c r="G254" t="s">
        <v>421</v>
      </c>
      <c r="H254" t="s">
        <v>87</v>
      </c>
      <c r="I254" s="147">
        <v>318840000</v>
      </c>
      <c r="J254" t="s">
        <v>28</v>
      </c>
      <c r="K254" t="s">
        <v>29</v>
      </c>
      <c r="L254" s="142" t="s">
        <v>640</v>
      </c>
      <c r="M254" s="141" t="s">
        <v>733</v>
      </c>
      <c r="N254" s="148">
        <v>45981</v>
      </c>
      <c r="O254" t="s">
        <v>69</v>
      </c>
      <c r="P254" t="s">
        <v>32</v>
      </c>
      <c r="Q254"/>
      <c r="R254"/>
      <c r="S254"/>
      <c r="T254"/>
      <c r="U254"/>
      <c r="V254" s="152"/>
    </row>
    <row r="255" spans="1:22" s="1" customFormat="1">
      <c r="A255">
        <v>254</v>
      </c>
      <c r="B255" s="141" t="s">
        <v>734</v>
      </c>
      <c r="C255">
        <v>2025</v>
      </c>
      <c r="D255" s="45" t="s">
        <v>358</v>
      </c>
      <c r="E255" s="141" t="s">
        <v>735</v>
      </c>
      <c r="F255" t="s">
        <v>25</v>
      </c>
      <c r="G255" t="s">
        <v>421</v>
      </c>
      <c r="H255" t="s">
        <v>87</v>
      </c>
      <c r="I255" s="147">
        <v>1248000000</v>
      </c>
      <c r="J255" s="141" t="s">
        <v>596</v>
      </c>
      <c r="K255" t="s">
        <v>29</v>
      </c>
      <c r="L255" s="141" t="s">
        <v>736</v>
      </c>
      <c r="M255" s="148">
        <v>45950</v>
      </c>
      <c r="N255" s="148">
        <v>45982</v>
      </c>
      <c r="O255" t="s">
        <v>31</v>
      </c>
      <c r="P255" t="s">
        <v>32</v>
      </c>
      <c r="Q255" t="s">
        <v>460</v>
      </c>
      <c r="R255"/>
      <c r="S255"/>
      <c r="T255"/>
      <c r="U255" t="s">
        <v>737</v>
      </c>
      <c r="V255" s="152"/>
    </row>
    <row r="256" spans="1:22" s="1" customFormat="1" ht="30">
      <c r="A256">
        <v>255</v>
      </c>
      <c r="B256" s="141" t="s">
        <v>738</v>
      </c>
      <c r="C256">
        <v>2025</v>
      </c>
      <c r="D256" s="45" t="s">
        <v>358</v>
      </c>
      <c r="E256" s="141" t="s">
        <v>739</v>
      </c>
      <c r="F256" t="s">
        <v>25</v>
      </c>
      <c r="G256" t="s">
        <v>421</v>
      </c>
      <c r="H256" t="s">
        <v>87</v>
      </c>
      <c r="I256" s="147">
        <v>9768222459</v>
      </c>
      <c r="J256"/>
      <c r="K256" t="s">
        <v>67</v>
      </c>
      <c r="L256" s="141" t="s">
        <v>64</v>
      </c>
      <c r="M256" s="141" t="s">
        <v>740</v>
      </c>
      <c r="N256" s="142" t="s">
        <v>741</v>
      </c>
      <c r="O256" t="s">
        <v>31</v>
      </c>
      <c r="P256" t="s">
        <v>32</v>
      </c>
      <c r="Q256"/>
      <c r="R256"/>
      <c r="S256" t="s">
        <v>460</v>
      </c>
      <c r="T256"/>
      <c r="U256" t="s">
        <v>742</v>
      </c>
      <c r="V256" s="152" t="s">
        <v>743</v>
      </c>
    </row>
    <row r="257" spans="1:22" s="4" customFormat="1">
      <c r="A257">
        <v>256</v>
      </c>
      <c r="B257" t="s">
        <v>744</v>
      </c>
      <c r="C257">
        <v>2025</v>
      </c>
      <c r="D257" t="s">
        <v>384</v>
      </c>
      <c r="E257" t="s">
        <v>745</v>
      </c>
      <c r="F257" t="s">
        <v>25</v>
      </c>
      <c r="G257" t="s">
        <v>421</v>
      </c>
      <c r="H257" t="s">
        <v>87</v>
      </c>
      <c r="I257" s="35">
        <v>23382632700</v>
      </c>
      <c r="J257" t="s">
        <v>602</v>
      </c>
      <c r="K257" t="s">
        <v>67</v>
      </c>
      <c r="L257" t="s">
        <v>746</v>
      </c>
      <c r="M257" s="151">
        <v>45965.414768518516</v>
      </c>
      <c r="N257" s="2">
        <v>46024</v>
      </c>
      <c r="O257" t="s">
        <v>31</v>
      </c>
      <c r="P257" t="s">
        <v>460</v>
      </c>
      <c r="Q257" t="s">
        <v>460</v>
      </c>
      <c r="R257"/>
      <c r="S257"/>
      <c r="T257"/>
      <c r="U257" t="s">
        <v>747</v>
      </c>
      <c r="V257" s="153" t="s">
        <v>743</v>
      </c>
    </row>
    <row r="258" spans="1:22">
      <c r="A258">
        <v>257</v>
      </c>
      <c r="B258" t="s">
        <v>748</v>
      </c>
      <c r="C258">
        <v>2025</v>
      </c>
      <c r="D258" t="s">
        <v>384</v>
      </c>
      <c r="E258" t="s">
        <v>749</v>
      </c>
      <c r="F258" t="s">
        <v>25</v>
      </c>
      <c r="G258" t="s">
        <v>421</v>
      </c>
      <c r="H258" t="s">
        <v>584</v>
      </c>
      <c r="I258" s="17">
        <v>60385016</v>
      </c>
      <c r="J258" t="s">
        <v>652</v>
      </c>
      <c r="K258" t="s">
        <v>29</v>
      </c>
      <c r="L258" t="s">
        <v>678</v>
      </c>
      <c r="M258" t="s">
        <v>750</v>
      </c>
      <c r="N258" t="s">
        <v>751</v>
      </c>
      <c r="O258" t="s">
        <v>31</v>
      </c>
      <c r="P258" t="s">
        <v>32</v>
      </c>
      <c r="Q258" t="s">
        <v>460</v>
      </c>
    </row>
    <row r="259" spans="1:22">
      <c r="A259">
        <v>258</v>
      </c>
      <c r="B259" t="s">
        <v>752</v>
      </c>
      <c r="C259">
        <v>2025</v>
      </c>
      <c r="D259" t="s">
        <v>384</v>
      </c>
      <c r="E259" t="s">
        <v>753</v>
      </c>
      <c r="F259" t="s">
        <v>25</v>
      </c>
      <c r="G259" t="s">
        <v>421</v>
      </c>
      <c r="H259" t="s">
        <v>584</v>
      </c>
      <c r="J259" t="s">
        <v>652</v>
      </c>
      <c r="K259" t="s">
        <v>29</v>
      </c>
      <c r="L259" t="s">
        <v>477</v>
      </c>
      <c r="M259" s="2">
        <v>45697</v>
      </c>
      <c r="N259" s="2">
        <v>45910</v>
      </c>
      <c r="O259" t="s">
        <v>51</v>
      </c>
      <c r="P259" t="s">
        <v>32</v>
      </c>
      <c r="T259" t="s">
        <v>460</v>
      </c>
    </row>
    <row r="260" spans="1:22">
      <c r="A260">
        <v>259</v>
      </c>
      <c r="B260" t="s">
        <v>754</v>
      </c>
      <c r="C260">
        <v>2025</v>
      </c>
      <c r="D260" t="s">
        <v>384</v>
      </c>
      <c r="E260" t="s">
        <v>755</v>
      </c>
      <c r="F260" t="s">
        <v>25</v>
      </c>
      <c r="G260" t="s">
        <v>423</v>
      </c>
      <c r="H260" t="s">
        <v>112</v>
      </c>
      <c r="I260" s="143">
        <v>45000000</v>
      </c>
      <c r="J260" t="s">
        <v>652</v>
      </c>
      <c r="K260" t="s">
        <v>29</v>
      </c>
      <c r="L260" t="s">
        <v>477</v>
      </c>
      <c r="M260" t="s">
        <v>756</v>
      </c>
      <c r="N260" t="s">
        <v>757</v>
      </c>
      <c r="O260" t="s">
        <v>31</v>
      </c>
      <c r="P260" t="s">
        <v>32</v>
      </c>
      <c r="Q260" t="s">
        <v>460</v>
      </c>
      <c r="U260" t="s">
        <v>758</v>
      </c>
    </row>
    <row r="261" spans="1:22" ht="30.75">
      <c r="A261">
        <v>261</v>
      </c>
      <c r="B261" t="s">
        <v>759</v>
      </c>
      <c r="C261">
        <v>2025</v>
      </c>
      <c r="D261" t="s">
        <v>384</v>
      </c>
      <c r="E261" s="44" t="s">
        <v>760</v>
      </c>
      <c r="F261" t="s">
        <v>25</v>
      </c>
      <c r="G261" t="s">
        <v>421</v>
      </c>
      <c r="H261" t="s">
        <v>36</v>
      </c>
      <c r="I261" s="17">
        <v>1306910400</v>
      </c>
      <c r="J261" t="s">
        <v>614</v>
      </c>
      <c r="K261" t="s">
        <v>29</v>
      </c>
      <c r="L261" t="s">
        <v>191</v>
      </c>
      <c r="M261" t="s">
        <v>761</v>
      </c>
      <c r="N261" t="s">
        <v>761</v>
      </c>
      <c r="O261" t="s">
        <v>31</v>
      </c>
      <c r="P261" t="s">
        <v>32</v>
      </c>
      <c r="Q261" t="s">
        <v>460</v>
      </c>
    </row>
    <row r="262" spans="1:22">
      <c r="A262">
        <v>262</v>
      </c>
      <c r="B262" s="145" t="s">
        <v>738</v>
      </c>
      <c r="C262">
        <v>2025</v>
      </c>
      <c r="D262" t="s">
        <v>384</v>
      </c>
      <c r="E262" t="s">
        <v>762</v>
      </c>
      <c r="F262" t="s">
        <v>25</v>
      </c>
      <c r="G262" t="s">
        <v>423</v>
      </c>
      <c r="H262" t="s">
        <v>91</v>
      </c>
      <c r="I262" s="143">
        <v>9768222459</v>
      </c>
      <c r="J262" t="s">
        <v>614</v>
      </c>
      <c r="K262" t="s">
        <v>67</v>
      </c>
      <c r="L262" t="s">
        <v>763</v>
      </c>
      <c r="M262" t="s">
        <v>764</v>
      </c>
      <c r="N262" t="s">
        <v>765</v>
      </c>
      <c r="O262" t="s">
        <v>31</v>
      </c>
      <c r="P262" t="s">
        <v>32</v>
      </c>
      <c r="T262" t="s">
        <v>460</v>
      </c>
      <c r="U262" t="s">
        <v>766</v>
      </c>
    </row>
    <row r="263" spans="1:22">
      <c r="A263">
        <v>263</v>
      </c>
      <c r="B263" t="s">
        <v>767</v>
      </c>
      <c r="C263">
        <v>2025</v>
      </c>
      <c r="D263" t="s">
        <v>384</v>
      </c>
      <c r="E263" t="s">
        <v>768</v>
      </c>
      <c r="F263" t="s">
        <v>25</v>
      </c>
      <c r="G263" t="s">
        <v>421</v>
      </c>
      <c r="H263" t="s">
        <v>36</v>
      </c>
      <c r="I263" s="143">
        <v>990990996</v>
      </c>
      <c r="J263" s="141" t="s">
        <v>614</v>
      </c>
      <c r="K263" t="s">
        <v>67</v>
      </c>
      <c r="L263" s="141" t="s">
        <v>391</v>
      </c>
      <c r="M263" t="s">
        <v>769</v>
      </c>
      <c r="N263" t="s">
        <v>770</v>
      </c>
      <c r="O263" t="s">
        <v>51</v>
      </c>
      <c r="P263" t="s">
        <v>460</v>
      </c>
      <c r="T263" t="s">
        <v>460</v>
      </c>
      <c r="U263" t="s">
        <v>771</v>
      </c>
    </row>
    <row r="264" spans="1:22">
      <c r="A264">
        <v>264</v>
      </c>
      <c r="C264">
        <v>2025</v>
      </c>
      <c r="D264" t="s">
        <v>384</v>
      </c>
      <c r="E264" t="s">
        <v>772</v>
      </c>
      <c r="F264" t="s">
        <v>773</v>
      </c>
      <c r="O264" t="s">
        <v>51</v>
      </c>
      <c r="P264" t="s">
        <v>460</v>
      </c>
      <c r="T264" t="s">
        <v>460</v>
      </c>
    </row>
    <row r="265" spans="1:22">
      <c r="A265">
        <v>265</v>
      </c>
      <c r="C265">
        <v>2025</v>
      </c>
      <c r="D265" t="s">
        <v>384</v>
      </c>
      <c r="E265" t="s">
        <v>774</v>
      </c>
      <c r="F265" t="s">
        <v>773</v>
      </c>
      <c r="O265" t="s">
        <v>51</v>
      </c>
      <c r="P265" t="s">
        <v>460</v>
      </c>
      <c r="S265" t="s">
        <v>460</v>
      </c>
      <c r="U265" t="s">
        <v>775</v>
      </c>
    </row>
    <row r="266" spans="1:22">
      <c r="A266">
        <v>266</v>
      </c>
      <c r="C266">
        <v>2025</v>
      </c>
      <c r="D266" t="s">
        <v>384</v>
      </c>
      <c r="E266" t="s">
        <v>776</v>
      </c>
      <c r="F266" t="s">
        <v>773</v>
      </c>
      <c r="O266" t="s">
        <v>51</v>
      </c>
      <c r="P266" t="s">
        <v>32</v>
      </c>
      <c r="S266" t="s">
        <v>460</v>
      </c>
      <c r="U266" t="s">
        <v>777</v>
      </c>
    </row>
    <row r="267" spans="1:22">
      <c r="A267">
        <v>267</v>
      </c>
      <c r="B267" t="s">
        <v>778</v>
      </c>
      <c r="C267">
        <v>2025</v>
      </c>
      <c r="D267" t="s">
        <v>384</v>
      </c>
      <c r="E267" t="s">
        <v>779</v>
      </c>
      <c r="F267" t="s">
        <v>25</v>
      </c>
      <c r="G267" t="s">
        <v>443</v>
      </c>
      <c r="H267" t="s">
        <v>41</v>
      </c>
      <c r="I267" s="143">
        <v>250000000</v>
      </c>
      <c r="J267" s="141" t="s">
        <v>780</v>
      </c>
      <c r="K267" t="s">
        <v>67</v>
      </c>
      <c r="L267" s="141" t="s">
        <v>781</v>
      </c>
      <c r="M267" s="2">
        <v>45667</v>
      </c>
      <c r="N267" s="2">
        <v>45849</v>
      </c>
      <c r="O267" t="s">
        <v>51</v>
      </c>
      <c r="P267" t="s">
        <v>460</v>
      </c>
      <c r="T267" t="s">
        <v>460</v>
      </c>
    </row>
    <row r="268" spans="1:22">
      <c r="A268">
        <v>268</v>
      </c>
      <c r="B268" s="145" t="s">
        <v>782</v>
      </c>
      <c r="C268">
        <v>2025</v>
      </c>
      <c r="D268" t="s">
        <v>384</v>
      </c>
      <c r="E268" t="s">
        <v>783</v>
      </c>
      <c r="F268" t="s">
        <v>25</v>
      </c>
      <c r="G268" t="s">
        <v>595</v>
      </c>
      <c r="H268" t="s">
        <v>49</v>
      </c>
      <c r="I268" s="143">
        <v>1752304136</v>
      </c>
      <c r="J268" s="141" t="s">
        <v>614</v>
      </c>
      <c r="K268" t="s">
        <v>29</v>
      </c>
      <c r="L268" s="141" t="s">
        <v>615</v>
      </c>
      <c r="M268" s="2">
        <v>46000</v>
      </c>
      <c r="N268" s="2">
        <v>45881</v>
      </c>
      <c r="O268" t="s">
        <v>51</v>
      </c>
      <c r="P268" t="s">
        <v>460</v>
      </c>
      <c r="T268" t="s">
        <v>460</v>
      </c>
    </row>
    <row r="269" spans="1:22" ht="30">
      <c r="A269">
        <v>269</v>
      </c>
      <c r="B269" s="45" t="s">
        <v>784</v>
      </c>
      <c r="C269">
        <v>2025</v>
      </c>
      <c r="D269" t="s">
        <v>384</v>
      </c>
      <c r="E269" s="45" t="s">
        <v>785</v>
      </c>
      <c r="F269" s="141" t="s">
        <v>25</v>
      </c>
      <c r="G269" t="s">
        <v>128</v>
      </c>
      <c r="H269" t="s">
        <v>313</v>
      </c>
      <c r="I269" s="147">
        <v>2410448000</v>
      </c>
      <c r="J269" s="141" t="s">
        <v>668</v>
      </c>
      <c r="K269" t="s">
        <v>67</v>
      </c>
      <c r="L269" s="141" t="s">
        <v>786</v>
      </c>
      <c r="M269" s="150">
        <v>45980</v>
      </c>
      <c r="N269" s="158" t="s">
        <v>787</v>
      </c>
      <c r="O269" t="s">
        <v>31</v>
      </c>
      <c r="P269" t="s">
        <v>32</v>
      </c>
      <c r="T269" t="s">
        <v>460</v>
      </c>
    </row>
    <row r="270" spans="1:22">
      <c r="A270">
        <v>270</v>
      </c>
      <c r="B270" s="12" t="s">
        <v>788</v>
      </c>
      <c r="C270">
        <v>2025</v>
      </c>
      <c r="D270" t="s">
        <v>408</v>
      </c>
      <c r="E270" s="141" t="s">
        <v>789</v>
      </c>
      <c r="F270" t="s">
        <v>25</v>
      </c>
      <c r="G270" t="s">
        <v>421</v>
      </c>
      <c r="H270" t="s">
        <v>584</v>
      </c>
      <c r="I270" s="147">
        <v>4567715550</v>
      </c>
      <c r="J270" s="141" t="s">
        <v>614</v>
      </c>
      <c r="K270" t="s">
        <v>67</v>
      </c>
      <c r="L270" s="141" t="s">
        <v>382</v>
      </c>
      <c r="M270" s="141" t="s">
        <v>790</v>
      </c>
      <c r="N270" s="148">
        <v>46049</v>
      </c>
      <c r="O270" t="s">
        <v>69</v>
      </c>
      <c r="Q270" t="s">
        <v>460</v>
      </c>
    </row>
    <row r="271" spans="1:22">
      <c r="A271">
        <v>271</v>
      </c>
      <c r="B271" s="45" t="s">
        <v>791</v>
      </c>
      <c r="C271">
        <v>2025</v>
      </c>
      <c r="D271" t="s">
        <v>408</v>
      </c>
      <c r="E271" s="141" t="s">
        <v>792</v>
      </c>
      <c r="F271" t="s">
        <v>25</v>
      </c>
      <c r="G271" t="s">
        <v>513</v>
      </c>
      <c r="H271" t="s">
        <v>514</v>
      </c>
      <c r="I271" s="147">
        <v>958091865056</v>
      </c>
      <c r="J271" s="141" t="s">
        <v>602</v>
      </c>
      <c r="K271" t="s">
        <v>29</v>
      </c>
      <c r="L271" s="141" t="s">
        <v>746</v>
      </c>
      <c r="M271" s="148">
        <v>45492</v>
      </c>
      <c r="N271" s="161">
        <v>45901</v>
      </c>
      <c r="O271" t="s">
        <v>69</v>
      </c>
    </row>
    <row r="272" spans="1:22" ht="30">
      <c r="A272">
        <v>272</v>
      </c>
      <c r="B272" s="141" t="s">
        <v>793</v>
      </c>
      <c r="C272">
        <v>2025</v>
      </c>
      <c r="D272" t="s">
        <v>408</v>
      </c>
      <c r="E272" s="158" t="s">
        <v>794</v>
      </c>
      <c r="F272" t="s">
        <v>25</v>
      </c>
      <c r="G272" t="s">
        <v>443</v>
      </c>
      <c r="H272" t="s">
        <v>27</v>
      </c>
      <c r="I272" s="147">
        <v>300426700</v>
      </c>
      <c r="J272" s="141" t="s">
        <v>596</v>
      </c>
      <c r="K272" t="s">
        <v>29</v>
      </c>
      <c r="L272" s="141" t="s">
        <v>575</v>
      </c>
      <c r="M272" s="148">
        <v>45959</v>
      </c>
      <c r="N272" s="148">
        <v>45989</v>
      </c>
      <c r="O272" t="s">
        <v>31</v>
      </c>
      <c r="P272" t="s">
        <v>32</v>
      </c>
    </row>
    <row r="273" spans="1:21" ht="30">
      <c r="A273">
        <v>273</v>
      </c>
      <c r="B273" s="12" t="s">
        <v>795</v>
      </c>
      <c r="C273">
        <v>2025</v>
      </c>
      <c r="D273" t="s">
        <v>408</v>
      </c>
      <c r="E273" s="12" t="s">
        <v>796</v>
      </c>
      <c r="F273" t="s">
        <v>25</v>
      </c>
      <c r="G273" t="s">
        <v>443</v>
      </c>
      <c r="H273" t="s">
        <v>27</v>
      </c>
      <c r="I273" s="147">
        <v>389400000</v>
      </c>
      <c r="J273" s="141" t="s">
        <v>596</v>
      </c>
      <c r="K273" t="s">
        <v>29</v>
      </c>
      <c r="L273" s="158" t="s">
        <v>653</v>
      </c>
      <c r="M273" s="148">
        <v>46001</v>
      </c>
      <c r="N273" s="158" t="s">
        <v>741</v>
      </c>
      <c r="O273" t="s">
        <v>31</v>
      </c>
      <c r="P273" t="s">
        <v>32</v>
      </c>
      <c r="Q273" t="s">
        <v>460</v>
      </c>
    </row>
    <row r="274" spans="1:21">
      <c r="A274">
        <v>274</v>
      </c>
      <c r="B274" s="12" t="s">
        <v>797</v>
      </c>
      <c r="C274">
        <v>2025</v>
      </c>
      <c r="D274" t="s">
        <v>408</v>
      </c>
      <c r="E274" s="12" t="s">
        <v>798</v>
      </c>
      <c r="F274" t="s">
        <v>25</v>
      </c>
      <c r="G274" t="s">
        <v>423</v>
      </c>
      <c r="H274" t="s">
        <v>112</v>
      </c>
      <c r="I274" s="147">
        <v>36400000</v>
      </c>
      <c r="J274" s="141" t="s">
        <v>780</v>
      </c>
      <c r="K274" t="s">
        <v>29</v>
      </c>
      <c r="L274" s="141" t="s">
        <v>142</v>
      </c>
      <c r="M274" s="148">
        <v>46002</v>
      </c>
      <c r="N274" s="148">
        <v>46043</v>
      </c>
      <c r="O274" t="s">
        <v>69</v>
      </c>
      <c r="P274" t="s">
        <v>460</v>
      </c>
      <c r="Q274" t="s">
        <v>460</v>
      </c>
    </row>
    <row r="275" spans="1:21">
      <c r="A275">
        <v>275</v>
      </c>
      <c r="B275" s="12" t="s">
        <v>799</v>
      </c>
      <c r="C275">
        <v>2025</v>
      </c>
      <c r="D275" t="s">
        <v>408</v>
      </c>
      <c r="E275" s="12" t="s">
        <v>800</v>
      </c>
      <c r="F275" t="s">
        <v>25</v>
      </c>
      <c r="G275" t="s">
        <v>128</v>
      </c>
      <c r="H275" t="s">
        <v>252</v>
      </c>
      <c r="I275" s="147">
        <v>285000000</v>
      </c>
      <c r="J275" s="141" t="s">
        <v>596</v>
      </c>
      <c r="K275" t="s">
        <v>29</v>
      </c>
      <c r="L275" s="141" t="s">
        <v>801</v>
      </c>
      <c r="M275" s="148">
        <v>46006</v>
      </c>
      <c r="N275" s="148">
        <v>46052</v>
      </c>
      <c r="O275" t="s">
        <v>69</v>
      </c>
      <c r="P275" t="s">
        <v>32</v>
      </c>
    </row>
    <row r="276" spans="1:21" ht="45.75">
      <c r="A276">
        <v>276</v>
      </c>
      <c r="B276" s="12" t="s">
        <v>802</v>
      </c>
      <c r="C276">
        <v>2025</v>
      </c>
      <c r="D276" t="s">
        <v>408</v>
      </c>
      <c r="E276" s="141" t="s">
        <v>803</v>
      </c>
      <c r="F276" t="s">
        <v>25</v>
      </c>
      <c r="G276" t="s">
        <v>423</v>
      </c>
      <c r="H276" t="s">
        <v>123</v>
      </c>
      <c r="I276" s="147">
        <v>4210212960</v>
      </c>
      <c r="J276" s="141" t="s">
        <v>780</v>
      </c>
      <c r="K276" t="s">
        <v>29</v>
      </c>
      <c r="L276" s="158" t="s">
        <v>804</v>
      </c>
      <c r="M276" s="148">
        <v>46009</v>
      </c>
      <c r="N276" s="148">
        <v>46063</v>
      </c>
      <c r="O276" t="s">
        <v>51</v>
      </c>
      <c r="P276" t="s">
        <v>32</v>
      </c>
    </row>
    <row r="277" spans="1:21" ht="30">
      <c r="A277">
        <v>277</v>
      </c>
      <c r="B277" s="51" t="s">
        <v>805</v>
      </c>
      <c r="C277">
        <v>2025</v>
      </c>
      <c r="D277" t="s">
        <v>408</v>
      </c>
      <c r="E277" s="158" t="s">
        <v>806</v>
      </c>
      <c r="F277" t="s">
        <v>25</v>
      </c>
      <c r="G277" t="s">
        <v>423</v>
      </c>
      <c r="H277" t="s">
        <v>561</v>
      </c>
      <c r="I277" s="147">
        <v>4665516588</v>
      </c>
      <c r="J277" s="141" t="s">
        <v>602</v>
      </c>
      <c r="K277" t="s">
        <v>67</v>
      </c>
      <c r="L277" s="141" t="s">
        <v>253</v>
      </c>
      <c r="M277" s="141" t="s">
        <v>807</v>
      </c>
      <c r="N277" s="148">
        <v>46059</v>
      </c>
      <c r="O277" t="s">
        <v>51</v>
      </c>
      <c r="P277" t="s">
        <v>32</v>
      </c>
    </row>
    <row r="278" spans="1:21">
      <c r="A278">
        <v>288</v>
      </c>
      <c r="B278" t="s">
        <v>808</v>
      </c>
      <c r="C278">
        <v>2025</v>
      </c>
      <c r="D278" t="s">
        <v>408</v>
      </c>
      <c r="E278" t="s">
        <v>809</v>
      </c>
      <c r="F278" t="s">
        <v>48</v>
      </c>
      <c r="G278" t="s">
        <v>513</v>
      </c>
      <c r="H278" t="s">
        <v>810</v>
      </c>
      <c r="I278" s="17">
        <v>171200000</v>
      </c>
      <c r="J278" s="141" t="s">
        <v>614</v>
      </c>
      <c r="K278" t="s">
        <v>29</v>
      </c>
      <c r="L278" t="s">
        <v>615</v>
      </c>
      <c r="M278" t="s">
        <v>811</v>
      </c>
      <c r="N278" t="s">
        <v>812</v>
      </c>
      <c r="O278" t="s">
        <v>69</v>
      </c>
      <c r="P278" t="s">
        <v>32</v>
      </c>
    </row>
    <row r="279" spans="1:21">
      <c r="A279">
        <v>289</v>
      </c>
      <c r="B279" t="s">
        <v>813</v>
      </c>
      <c r="C279">
        <v>2026</v>
      </c>
      <c r="D279" t="s">
        <v>23</v>
      </c>
      <c r="E279" t="s">
        <v>814</v>
      </c>
      <c r="F279" t="s">
        <v>25</v>
      </c>
      <c r="G279" t="s">
        <v>423</v>
      </c>
      <c r="H279" t="s">
        <v>123</v>
      </c>
      <c r="I279" s="143">
        <v>134500000</v>
      </c>
      <c r="J279" s="141" t="s">
        <v>668</v>
      </c>
      <c r="K279" t="s">
        <v>29</v>
      </c>
      <c r="L279" s="141" t="s">
        <v>539</v>
      </c>
      <c r="M279" s="2">
        <v>46054</v>
      </c>
      <c r="N279" s="2">
        <v>46055</v>
      </c>
      <c r="O279" t="s">
        <v>51</v>
      </c>
      <c r="P279" t="s">
        <v>32</v>
      </c>
    </row>
    <row r="280" spans="1:21">
      <c r="B280" s="141" t="s">
        <v>815</v>
      </c>
      <c r="C280">
        <v>2026</v>
      </c>
      <c r="D280" t="s">
        <v>23</v>
      </c>
      <c r="E280" t="s">
        <v>703</v>
      </c>
      <c r="F280" t="s">
        <v>25</v>
      </c>
      <c r="G280" t="s">
        <v>423</v>
      </c>
      <c r="H280" t="s">
        <v>621</v>
      </c>
      <c r="I280" s="35">
        <v>7363619862</v>
      </c>
      <c r="J280" t="s">
        <v>614</v>
      </c>
      <c r="K280" t="s">
        <v>67</v>
      </c>
      <c r="L280" t="s">
        <v>615</v>
      </c>
      <c r="M280" s="151">
        <v>45926</v>
      </c>
      <c r="N280" s="2">
        <v>46098</v>
      </c>
      <c r="O280" t="s">
        <v>51</v>
      </c>
      <c r="P280" t="s">
        <v>460</v>
      </c>
      <c r="Q280" t="s">
        <v>32</v>
      </c>
    </row>
    <row r="281" spans="1:21">
      <c r="B281" s="12" t="s">
        <v>816</v>
      </c>
      <c r="C281">
        <v>2026</v>
      </c>
      <c r="D281" t="s">
        <v>23</v>
      </c>
      <c r="E281" t="s">
        <v>814</v>
      </c>
      <c r="F281" t="s">
        <v>25</v>
      </c>
      <c r="G281" t="s">
        <v>423</v>
      </c>
      <c r="H281" t="s">
        <v>123</v>
      </c>
      <c r="I281" s="35">
        <v>134500000</v>
      </c>
      <c r="J281" t="s">
        <v>668</v>
      </c>
      <c r="K281" t="s">
        <v>29</v>
      </c>
      <c r="L281" t="s">
        <v>539</v>
      </c>
      <c r="M281" s="2">
        <v>46024</v>
      </c>
      <c r="N281" s="2">
        <v>46059</v>
      </c>
      <c r="O281" t="s">
        <v>31</v>
      </c>
      <c r="P281" t="s">
        <v>32</v>
      </c>
      <c r="Q281" t="s">
        <v>32</v>
      </c>
    </row>
    <row r="282" spans="1:21" ht="30">
      <c r="B282" s="158" t="s">
        <v>817</v>
      </c>
      <c r="C282">
        <v>2026</v>
      </c>
      <c r="D282" t="s">
        <v>23</v>
      </c>
      <c r="E282" t="s">
        <v>818</v>
      </c>
      <c r="F282" t="s">
        <v>25</v>
      </c>
      <c r="G282" t="s">
        <v>421</v>
      </c>
      <c r="H282" t="s">
        <v>422</v>
      </c>
      <c r="I282" s="35">
        <v>1919880000</v>
      </c>
      <c r="J282" t="s">
        <v>614</v>
      </c>
      <c r="K282" t="s">
        <v>29</v>
      </c>
      <c r="L282" t="s">
        <v>64</v>
      </c>
      <c r="M282" s="2">
        <v>46027</v>
      </c>
      <c r="N282" s="2">
        <v>46052</v>
      </c>
      <c r="O282" t="s">
        <v>51</v>
      </c>
      <c r="P282" t="s">
        <v>32</v>
      </c>
    </row>
    <row r="283" spans="1:21" ht="30">
      <c r="B283" s="49" t="s">
        <v>819</v>
      </c>
      <c r="C283">
        <v>2026</v>
      </c>
      <c r="D283" t="s">
        <v>23</v>
      </c>
      <c r="E283" s="158" t="s">
        <v>820</v>
      </c>
      <c r="F283" t="s">
        <v>25</v>
      </c>
      <c r="G283" t="s">
        <v>26</v>
      </c>
      <c r="H283" t="s">
        <v>87</v>
      </c>
      <c r="I283" s="35">
        <v>2162400000</v>
      </c>
      <c r="J283" t="s">
        <v>596</v>
      </c>
      <c r="K283" t="s">
        <v>29</v>
      </c>
      <c r="L283" t="s">
        <v>394</v>
      </c>
      <c r="M283" s="2">
        <v>46029</v>
      </c>
      <c r="N283" s="2">
        <v>46091</v>
      </c>
      <c r="O283" t="s">
        <v>31</v>
      </c>
      <c r="P283" t="s">
        <v>32</v>
      </c>
    </row>
    <row r="284" spans="1:21">
      <c r="B284" s="51" t="s">
        <v>821</v>
      </c>
      <c r="C284">
        <v>2026</v>
      </c>
      <c r="D284" t="s">
        <v>23</v>
      </c>
      <c r="E284" t="s">
        <v>822</v>
      </c>
      <c r="F284" t="s">
        <v>25</v>
      </c>
      <c r="G284" t="s">
        <v>595</v>
      </c>
      <c r="H284" t="s">
        <v>49</v>
      </c>
      <c r="I284" s="35">
        <v>55855856.399999999</v>
      </c>
      <c r="J284" t="s">
        <v>596</v>
      </c>
      <c r="K284" t="s">
        <v>29</v>
      </c>
      <c r="L284" t="s">
        <v>394</v>
      </c>
      <c r="M284" s="151">
        <v>45968</v>
      </c>
      <c r="N284" s="2">
        <v>46052</v>
      </c>
      <c r="O284" t="s">
        <v>51</v>
      </c>
      <c r="P284" t="s">
        <v>32</v>
      </c>
    </row>
    <row r="285" spans="1:21">
      <c r="B285" t="s">
        <v>823</v>
      </c>
      <c r="C285">
        <v>2026</v>
      </c>
      <c r="D285" t="s">
        <v>23</v>
      </c>
      <c r="E285" t="s">
        <v>824</v>
      </c>
      <c r="F285" t="s">
        <v>25</v>
      </c>
      <c r="G285" t="s">
        <v>825</v>
      </c>
      <c r="H285" t="s">
        <v>91</v>
      </c>
      <c r="I285" s="35">
        <v>4714365321.4799995</v>
      </c>
      <c r="J285" t="s">
        <v>668</v>
      </c>
      <c r="K285" t="s">
        <v>29</v>
      </c>
      <c r="L285" t="s">
        <v>826</v>
      </c>
      <c r="M285" s="2">
        <v>46042</v>
      </c>
      <c r="N285" s="2">
        <v>46080</v>
      </c>
      <c r="O285" t="s">
        <v>69</v>
      </c>
      <c r="P285" t="s">
        <v>32</v>
      </c>
      <c r="Q285" t="s">
        <v>460</v>
      </c>
    </row>
    <row r="286" spans="1:21">
      <c r="B286" s="12" t="s">
        <v>827</v>
      </c>
      <c r="C286">
        <v>2026</v>
      </c>
      <c r="D286" t="s">
        <v>23</v>
      </c>
      <c r="E286" t="s">
        <v>828</v>
      </c>
      <c r="F286" t="s">
        <v>25</v>
      </c>
      <c r="G286" t="s">
        <v>825</v>
      </c>
      <c r="H286" t="s">
        <v>91</v>
      </c>
      <c r="I286" s="35">
        <v>1316320000</v>
      </c>
      <c r="J286" t="s">
        <v>780</v>
      </c>
      <c r="K286" t="s">
        <v>29</v>
      </c>
      <c r="L286" t="s">
        <v>781</v>
      </c>
      <c r="M286" s="2">
        <v>46048</v>
      </c>
      <c r="N286" s="2">
        <v>46086</v>
      </c>
      <c r="O286" t="s">
        <v>69</v>
      </c>
      <c r="P286" t="s">
        <v>460</v>
      </c>
      <c r="Q286" t="s">
        <v>460</v>
      </c>
    </row>
    <row r="287" spans="1:21">
      <c r="B287" s="12" t="s">
        <v>829</v>
      </c>
      <c r="C287">
        <v>2026</v>
      </c>
      <c r="D287" t="s">
        <v>23</v>
      </c>
      <c r="E287" t="s">
        <v>830</v>
      </c>
      <c r="F287" t="s">
        <v>25</v>
      </c>
      <c r="G287" t="s">
        <v>423</v>
      </c>
      <c r="H287" t="s">
        <v>112</v>
      </c>
      <c r="I287" s="35">
        <v>160000000</v>
      </c>
      <c r="J287" t="s">
        <v>780</v>
      </c>
      <c r="K287" t="s">
        <v>29</v>
      </c>
      <c r="L287" t="s">
        <v>622</v>
      </c>
      <c r="M287" s="2">
        <v>46045</v>
      </c>
      <c r="N287" s="2">
        <v>46080</v>
      </c>
      <c r="O287" t="s">
        <v>31</v>
      </c>
      <c r="P287" t="s">
        <v>32</v>
      </c>
      <c r="Q287" t="s">
        <v>460</v>
      </c>
    </row>
    <row r="288" spans="1:21">
      <c r="B288" s="51" t="s">
        <v>831</v>
      </c>
      <c r="C288">
        <v>2026</v>
      </c>
      <c r="D288" t="s">
        <v>23</v>
      </c>
      <c r="E288" t="s">
        <v>745</v>
      </c>
      <c r="F288" t="s">
        <v>25</v>
      </c>
      <c r="G288" t="s">
        <v>825</v>
      </c>
      <c r="H288" t="s">
        <v>91</v>
      </c>
      <c r="I288" s="35">
        <v>23657948370.560001</v>
      </c>
      <c r="J288" t="s">
        <v>602</v>
      </c>
      <c r="K288" t="s">
        <v>67</v>
      </c>
      <c r="L288" t="s">
        <v>746</v>
      </c>
      <c r="M288" s="2">
        <v>46037</v>
      </c>
      <c r="N288" s="2">
        <v>46080</v>
      </c>
      <c r="O288" t="s">
        <v>31</v>
      </c>
      <c r="P288" t="s">
        <v>460</v>
      </c>
      <c r="U288" t="s">
        <v>832</v>
      </c>
    </row>
    <row r="289" spans="2:21">
      <c r="B289" s="51" t="s">
        <v>833</v>
      </c>
      <c r="C289">
        <v>2026</v>
      </c>
      <c r="D289" t="s">
        <v>23</v>
      </c>
      <c r="E289" t="s">
        <v>834</v>
      </c>
      <c r="F289" t="s">
        <v>25</v>
      </c>
      <c r="G289" t="s">
        <v>443</v>
      </c>
      <c r="H289" t="s">
        <v>41</v>
      </c>
      <c r="I289" s="35">
        <v>432000000</v>
      </c>
      <c r="J289" t="s">
        <v>596</v>
      </c>
      <c r="K289" t="s">
        <v>29</v>
      </c>
      <c r="L289" t="s">
        <v>394</v>
      </c>
      <c r="M289" s="2">
        <v>46045</v>
      </c>
      <c r="N289" s="2">
        <v>46080</v>
      </c>
      <c r="O289" t="s">
        <v>31</v>
      </c>
      <c r="P289" t="s">
        <v>32</v>
      </c>
      <c r="U289" t="s">
        <v>835</v>
      </c>
    </row>
    <row r="290" spans="2:21">
      <c r="B290" s="12" t="s">
        <v>836</v>
      </c>
      <c r="C290">
        <v>2026</v>
      </c>
      <c r="D290" t="s">
        <v>96</v>
      </c>
      <c r="E290" t="s">
        <v>837</v>
      </c>
      <c r="F290" t="s">
        <v>25</v>
      </c>
      <c r="G290" t="s">
        <v>423</v>
      </c>
      <c r="H290" t="s">
        <v>123</v>
      </c>
      <c r="I290" s="17">
        <v>1406728800</v>
      </c>
      <c r="J290" s="141" t="s">
        <v>614</v>
      </c>
      <c r="K290" t="s">
        <v>29</v>
      </c>
      <c r="L290" t="s">
        <v>64</v>
      </c>
      <c r="M290" s="2">
        <v>46114</v>
      </c>
      <c r="N290" s="2">
        <v>46026</v>
      </c>
      <c r="O290" t="s">
        <v>51</v>
      </c>
      <c r="P290" t="s">
        <v>32</v>
      </c>
      <c r="Q290" t="s">
        <v>460</v>
      </c>
    </row>
    <row r="291" spans="2:21">
      <c r="B291" t="s">
        <v>838</v>
      </c>
      <c r="C291">
        <v>2026</v>
      </c>
      <c r="D291" t="s">
        <v>96</v>
      </c>
      <c r="E291" t="s">
        <v>839</v>
      </c>
      <c r="F291" t="s">
        <v>48</v>
      </c>
      <c r="G291" t="s">
        <v>443</v>
      </c>
      <c r="H291" t="s">
        <v>112</v>
      </c>
      <c r="I291" s="17">
        <v>135580000</v>
      </c>
      <c r="J291" t="s">
        <v>780</v>
      </c>
      <c r="K291" t="s">
        <v>29</v>
      </c>
      <c r="L291" t="s">
        <v>566</v>
      </c>
      <c r="M291" t="s">
        <v>840</v>
      </c>
      <c r="N291" t="s">
        <v>841</v>
      </c>
      <c r="O291" t="s">
        <v>31</v>
      </c>
      <c r="P291" t="s">
        <v>460</v>
      </c>
      <c r="U291" t="s">
        <v>842</v>
      </c>
    </row>
    <row r="292" spans="2:21">
      <c r="B292" s="12" t="s">
        <v>843</v>
      </c>
      <c r="C292">
        <v>2026</v>
      </c>
      <c r="D292" t="s">
        <v>96</v>
      </c>
      <c r="E292" s="12" t="s">
        <v>844</v>
      </c>
      <c r="F292" t="s">
        <v>25</v>
      </c>
      <c r="G292" t="s">
        <v>421</v>
      </c>
      <c r="H292" t="s">
        <v>584</v>
      </c>
      <c r="I292" s="35">
        <v>35979375659.279999</v>
      </c>
      <c r="J292" t="s">
        <v>780</v>
      </c>
      <c r="K292" t="s">
        <v>29</v>
      </c>
      <c r="L292" t="s">
        <v>607</v>
      </c>
      <c r="M292" s="2">
        <v>46027</v>
      </c>
      <c r="N292" s="2">
        <v>46059</v>
      </c>
      <c r="O292" t="s">
        <v>51</v>
      </c>
      <c r="P292" t="s">
        <v>32</v>
      </c>
    </row>
    <row r="293" spans="2:21">
      <c r="B293" s="12" t="s">
        <v>845</v>
      </c>
      <c r="C293">
        <v>2026</v>
      </c>
      <c r="D293" t="s">
        <v>96</v>
      </c>
      <c r="E293" s="12" t="s">
        <v>846</v>
      </c>
      <c r="F293" t="s">
        <v>25</v>
      </c>
      <c r="H293" t="s">
        <v>123</v>
      </c>
      <c r="I293" s="35">
        <v>6532320000</v>
      </c>
      <c r="J293" t="s">
        <v>847</v>
      </c>
      <c r="K293" t="s">
        <v>67</v>
      </c>
      <c r="L293" t="s">
        <v>142</v>
      </c>
      <c r="M293" s="2"/>
      <c r="N293" s="2"/>
      <c r="O293" t="s">
        <v>51</v>
      </c>
      <c r="P293" t="s">
        <v>32</v>
      </c>
      <c r="S293" t="s">
        <v>460</v>
      </c>
    </row>
    <row r="294" spans="2:21">
      <c r="B294" t="s">
        <v>848</v>
      </c>
      <c r="C294">
        <v>2026</v>
      </c>
      <c r="D294" t="s">
        <v>96</v>
      </c>
      <c r="E294" t="s">
        <v>849</v>
      </c>
      <c r="F294" t="s">
        <v>25</v>
      </c>
      <c r="G294" t="s">
        <v>850</v>
      </c>
      <c r="H294" t="s">
        <v>49</v>
      </c>
      <c r="I294" s="17">
        <v>1674300000</v>
      </c>
      <c r="J294" t="s">
        <v>780</v>
      </c>
      <c r="K294" t="s">
        <v>29</v>
      </c>
      <c r="L294" t="s">
        <v>55</v>
      </c>
      <c r="O294" t="s">
        <v>51</v>
      </c>
      <c r="P294" t="s">
        <v>32</v>
      </c>
      <c r="Q294" t="s">
        <v>460</v>
      </c>
    </row>
    <row r="295" spans="2:21">
      <c r="B295" t="s">
        <v>851</v>
      </c>
      <c r="C295">
        <v>2026</v>
      </c>
      <c r="D295" t="s">
        <v>96</v>
      </c>
      <c r="E295" t="s">
        <v>852</v>
      </c>
      <c r="F295" t="s">
        <v>25</v>
      </c>
      <c r="G295" t="s">
        <v>513</v>
      </c>
      <c r="H295" t="s">
        <v>810</v>
      </c>
      <c r="I295" s="35">
        <v>90180000</v>
      </c>
      <c r="J295" t="s">
        <v>780</v>
      </c>
      <c r="K295" t="s">
        <v>29</v>
      </c>
      <c r="L295" t="s">
        <v>55</v>
      </c>
      <c r="M295" s="2">
        <v>46066</v>
      </c>
      <c r="N295" s="2">
        <v>46125</v>
      </c>
      <c r="O295" t="s">
        <v>69</v>
      </c>
      <c r="P295" t="s">
        <v>32</v>
      </c>
      <c r="Q295" t="s">
        <v>32</v>
      </c>
      <c r="R295" t="s">
        <v>32</v>
      </c>
      <c r="S295" t="s">
        <v>32</v>
      </c>
    </row>
    <row r="296" spans="2:21">
      <c r="B296" s="141" t="s">
        <v>853</v>
      </c>
      <c r="C296">
        <v>2026</v>
      </c>
      <c r="D296" t="s">
        <v>96</v>
      </c>
      <c r="E296" t="s">
        <v>854</v>
      </c>
      <c r="F296" t="s">
        <v>25</v>
      </c>
      <c r="G296" t="s">
        <v>595</v>
      </c>
      <c r="H296" t="s">
        <v>855</v>
      </c>
      <c r="I296" s="35">
        <v>445680000</v>
      </c>
      <c r="J296" t="s">
        <v>856</v>
      </c>
      <c r="K296" t="s">
        <v>857</v>
      </c>
      <c r="L296" t="s">
        <v>434</v>
      </c>
      <c r="M296" s="2">
        <v>45979</v>
      </c>
      <c r="N296" s="2">
        <v>46090</v>
      </c>
      <c r="O296" t="s">
        <v>69</v>
      </c>
      <c r="P296" t="s">
        <v>32</v>
      </c>
      <c r="Q296" t="s">
        <v>32</v>
      </c>
    </row>
    <row r="297" spans="2:21">
      <c r="B297" s="141" t="s">
        <v>858</v>
      </c>
      <c r="C297">
        <v>2026</v>
      </c>
      <c r="D297" t="s">
        <v>96</v>
      </c>
      <c r="E297" t="s">
        <v>859</v>
      </c>
      <c r="F297" t="s">
        <v>25</v>
      </c>
      <c r="I297" s="35">
        <v>1424196500</v>
      </c>
      <c r="J297" s="42" t="s">
        <v>847</v>
      </c>
      <c r="K297" t="s">
        <v>67</v>
      </c>
      <c r="L297" t="s">
        <v>64</v>
      </c>
      <c r="M297" s="2">
        <v>46118</v>
      </c>
      <c r="N297" s="2"/>
      <c r="O297" t="s">
        <v>51</v>
      </c>
      <c r="P297" t="s">
        <v>32</v>
      </c>
    </row>
    <row r="298" spans="2:21">
      <c r="B298" t="s">
        <v>860</v>
      </c>
      <c r="C298">
        <v>2026</v>
      </c>
      <c r="D298" t="s">
        <v>96</v>
      </c>
      <c r="E298" t="s">
        <v>861</v>
      </c>
      <c r="F298" t="s">
        <v>25</v>
      </c>
      <c r="H298" t="s">
        <v>862</v>
      </c>
      <c r="I298" s="35">
        <v>2506564512</v>
      </c>
      <c r="J298" t="s">
        <v>863</v>
      </c>
      <c r="K298" t="s">
        <v>29</v>
      </c>
      <c r="L298" t="s">
        <v>864</v>
      </c>
      <c r="M298" s="2">
        <v>46052</v>
      </c>
      <c r="N298" s="2">
        <v>46073</v>
      </c>
      <c r="O298" t="s">
        <v>69</v>
      </c>
      <c r="P298" t="s">
        <v>32</v>
      </c>
    </row>
    <row r="299" spans="2:21">
      <c r="B299" t="s">
        <v>865</v>
      </c>
      <c r="C299">
        <v>2026</v>
      </c>
      <c r="D299" t="s">
        <v>144</v>
      </c>
      <c r="E299" t="s">
        <v>866</v>
      </c>
      <c r="F299" t="s">
        <v>25</v>
      </c>
      <c r="G299" t="s">
        <v>421</v>
      </c>
      <c r="H299" t="s">
        <v>422</v>
      </c>
      <c r="I299" s="35">
        <v>167680000</v>
      </c>
      <c r="J299" t="s">
        <v>867</v>
      </c>
      <c r="K299" t="s">
        <v>29</v>
      </c>
      <c r="L299" t="s">
        <v>648</v>
      </c>
      <c r="M299" s="2">
        <v>46079</v>
      </c>
      <c r="N299" s="2">
        <v>46121</v>
      </c>
      <c r="O299" t="s">
        <v>69</v>
      </c>
      <c r="P299" t="s">
        <v>32</v>
      </c>
      <c r="Q299" t="s">
        <v>32</v>
      </c>
    </row>
    <row r="300" spans="2:21">
      <c r="B300" s="12" t="s">
        <v>868</v>
      </c>
      <c r="C300">
        <v>2026</v>
      </c>
      <c r="D300" t="s">
        <v>144</v>
      </c>
      <c r="E300" t="s">
        <v>869</v>
      </c>
      <c r="F300" t="s">
        <v>25</v>
      </c>
      <c r="G300" t="s">
        <v>421</v>
      </c>
      <c r="H300" t="s">
        <v>422</v>
      </c>
      <c r="I300" s="35">
        <v>1716816000</v>
      </c>
      <c r="J300" t="s">
        <v>867</v>
      </c>
      <c r="K300" t="s">
        <v>29</v>
      </c>
      <c r="L300" t="s">
        <v>142</v>
      </c>
      <c r="M300" s="2">
        <v>46073</v>
      </c>
      <c r="N300" s="2">
        <v>46119</v>
      </c>
      <c r="O300" t="s">
        <v>69</v>
      </c>
      <c r="P300" t="s">
        <v>32</v>
      </c>
      <c r="Q300" t="s">
        <v>32</v>
      </c>
    </row>
    <row r="301" spans="2:21">
      <c r="B301" s="12" t="s">
        <v>870</v>
      </c>
      <c r="C301">
        <v>2026</v>
      </c>
      <c r="D301" t="s">
        <v>144</v>
      </c>
      <c r="E301" t="s">
        <v>871</v>
      </c>
      <c r="F301" t="s">
        <v>25</v>
      </c>
      <c r="H301" t="s">
        <v>872</v>
      </c>
      <c r="I301" s="35">
        <v>2085572864</v>
      </c>
      <c r="J301" t="s">
        <v>873</v>
      </c>
      <c r="K301" t="s">
        <v>43</v>
      </c>
      <c r="L301" t="s">
        <v>874</v>
      </c>
      <c r="M301" s="2">
        <v>46086</v>
      </c>
      <c r="N301" s="2">
        <v>46195</v>
      </c>
      <c r="O301" t="s">
        <v>51</v>
      </c>
      <c r="P301" t="s">
        <v>460</v>
      </c>
      <c r="Q301" t="s">
        <v>32</v>
      </c>
    </row>
    <row r="302" spans="2:21">
      <c r="B302" t="s">
        <v>875</v>
      </c>
      <c r="C302">
        <v>2026</v>
      </c>
      <c r="D302" t="s">
        <v>144</v>
      </c>
      <c r="E302" t="s">
        <v>876</v>
      </c>
      <c r="F302" t="s">
        <v>25</v>
      </c>
      <c r="G302" t="s">
        <v>513</v>
      </c>
      <c r="H302" t="s">
        <v>810</v>
      </c>
      <c r="I302" s="35">
        <v>142144000</v>
      </c>
      <c r="J302" t="s">
        <v>867</v>
      </c>
      <c r="K302" t="s">
        <v>29</v>
      </c>
      <c r="L302" t="s">
        <v>611</v>
      </c>
      <c r="M302" s="2">
        <v>46087</v>
      </c>
      <c r="N302" s="2">
        <v>46136</v>
      </c>
      <c r="O302" t="s">
        <v>51</v>
      </c>
      <c r="P302" t="s">
        <v>32</v>
      </c>
      <c r="Q302" t="s">
        <v>32</v>
      </c>
    </row>
    <row r="303" spans="2:21">
      <c r="B303" s="12" t="s">
        <v>877</v>
      </c>
      <c r="C303">
        <v>2026</v>
      </c>
      <c r="D303" t="s">
        <v>144</v>
      </c>
      <c r="E303" t="s">
        <v>878</v>
      </c>
      <c r="F303" t="s">
        <v>25</v>
      </c>
      <c r="G303" t="s">
        <v>513</v>
      </c>
      <c r="H303" t="s">
        <v>810</v>
      </c>
      <c r="I303" s="35">
        <v>1344324336</v>
      </c>
      <c r="J303" t="s">
        <v>867</v>
      </c>
      <c r="K303" t="s">
        <v>29</v>
      </c>
      <c r="L303" t="s">
        <v>391</v>
      </c>
      <c r="M303" s="2">
        <v>46086</v>
      </c>
      <c r="N303" s="2">
        <v>46120</v>
      </c>
      <c r="O303" t="s">
        <v>51</v>
      </c>
      <c r="P303" t="s">
        <v>32</v>
      </c>
      <c r="Q303" t="s">
        <v>32</v>
      </c>
    </row>
    <row r="304" spans="2:21">
      <c r="B304" s="12" t="s">
        <v>879</v>
      </c>
      <c r="C304">
        <v>2026</v>
      </c>
      <c r="D304" t="s">
        <v>144</v>
      </c>
      <c r="E304" t="s">
        <v>880</v>
      </c>
      <c r="F304" t="s">
        <v>25</v>
      </c>
      <c r="G304" t="s">
        <v>423</v>
      </c>
      <c r="H304" t="s">
        <v>570</v>
      </c>
      <c r="I304" s="35">
        <v>112099999992</v>
      </c>
      <c r="J304" t="s">
        <v>867</v>
      </c>
      <c r="K304" t="s">
        <v>67</v>
      </c>
      <c r="L304" t="s">
        <v>615</v>
      </c>
      <c r="M304" s="2">
        <v>46085</v>
      </c>
      <c r="N304" s="2">
        <v>46218</v>
      </c>
      <c r="O304" t="s">
        <v>51</v>
      </c>
      <c r="P304" t="s">
        <v>32</v>
      </c>
      <c r="Q304" t="s">
        <v>32</v>
      </c>
    </row>
    <row r="305" spans="2:17">
      <c r="B305" s="12" t="s">
        <v>881</v>
      </c>
      <c r="C305">
        <v>2026</v>
      </c>
      <c r="D305" t="s">
        <v>144</v>
      </c>
      <c r="E305" t="s">
        <v>882</v>
      </c>
      <c r="F305" t="s">
        <v>25</v>
      </c>
      <c r="G305" t="s">
        <v>513</v>
      </c>
      <c r="H305" t="s">
        <v>810</v>
      </c>
      <c r="I305" s="35">
        <v>4701936000</v>
      </c>
      <c r="J305" t="s">
        <v>867</v>
      </c>
      <c r="K305" t="s">
        <v>29</v>
      </c>
      <c r="L305" t="s">
        <v>142</v>
      </c>
      <c r="M305" s="2">
        <v>45974</v>
      </c>
      <c r="N305" s="2">
        <v>46013</v>
      </c>
      <c r="O305" t="s">
        <v>69</v>
      </c>
      <c r="P305" t="s">
        <v>32</v>
      </c>
      <c r="Q305" t="s">
        <v>32</v>
      </c>
    </row>
    <row r="306" spans="2:17">
      <c r="B306" s="12" t="s">
        <v>883</v>
      </c>
      <c r="C306">
        <v>2026</v>
      </c>
      <c r="D306" t="s">
        <v>144</v>
      </c>
      <c r="E306" s="141" t="s">
        <v>884</v>
      </c>
      <c r="F306" t="s">
        <v>25</v>
      </c>
      <c r="G306" t="s">
        <v>423</v>
      </c>
      <c r="H306" t="s">
        <v>123</v>
      </c>
      <c r="I306" s="147">
        <v>645585586</v>
      </c>
      <c r="J306" s="141" t="s">
        <v>885</v>
      </c>
      <c r="K306" t="s">
        <v>29</v>
      </c>
      <c r="L306" s="141" t="s">
        <v>886</v>
      </c>
      <c r="M306" s="148">
        <v>46036</v>
      </c>
      <c r="N306" s="148">
        <v>46072</v>
      </c>
      <c r="O306" t="s">
        <v>69</v>
      </c>
      <c r="P306" t="s">
        <v>32</v>
      </c>
      <c r="Q306" t="s">
        <v>32</v>
      </c>
    </row>
    <row r="307" spans="2:17">
      <c r="B307" s="12" t="s">
        <v>887</v>
      </c>
      <c r="C307">
        <v>2026</v>
      </c>
      <c r="D307" t="s">
        <v>183</v>
      </c>
      <c r="E307" s="141" t="s">
        <v>888</v>
      </c>
      <c r="F307" t="s">
        <v>25</v>
      </c>
      <c r="H307" t="s">
        <v>889</v>
      </c>
      <c r="I307" s="147">
        <v>96600000</v>
      </c>
      <c r="J307" s="141" t="s">
        <v>890</v>
      </c>
      <c r="K307" t="s">
        <v>29</v>
      </c>
      <c r="L307" s="141" t="s">
        <v>55</v>
      </c>
      <c r="M307" s="2">
        <v>46093</v>
      </c>
      <c r="N307" s="2">
        <v>46132</v>
      </c>
      <c r="O307" t="s">
        <v>69</v>
      </c>
      <c r="P307" t="s">
        <v>32</v>
      </c>
      <c r="Q307" t="s">
        <v>32</v>
      </c>
    </row>
    <row r="308" spans="2:17">
      <c r="B308" s="12" t="s">
        <v>891</v>
      </c>
      <c r="C308">
        <v>2026</v>
      </c>
      <c r="D308" t="s">
        <v>183</v>
      </c>
      <c r="E308" t="s">
        <v>892</v>
      </c>
      <c r="F308" t="s">
        <v>25</v>
      </c>
      <c r="H308" t="s">
        <v>889</v>
      </c>
      <c r="I308" s="35">
        <v>793665900</v>
      </c>
      <c r="J308" t="s">
        <v>867</v>
      </c>
      <c r="K308" t="s">
        <v>29</v>
      </c>
      <c r="L308" t="s">
        <v>648</v>
      </c>
      <c r="M308" s="2">
        <v>46128</v>
      </c>
      <c r="N308" s="2">
        <v>46161</v>
      </c>
      <c r="O308" t="s">
        <v>69</v>
      </c>
      <c r="P308" t="s">
        <v>32</v>
      </c>
      <c r="Q308" t="s">
        <v>32</v>
      </c>
    </row>
    <row r="309" spans="2:17">
      <c r="B309" t="s">
        <v>893</v>
      </c>
      <c r="C309">
        <v>2026</v>
      </c>
      <c r="D309" t="s">
        <v>212</v>
      </c>
      <c r="E309" t="s">
        <v>894</v>
      </c>
      <c r="F309" t="s">
        <v>25</v>
      </c>
      <c r="G309" t="s">
        <v>26</v>
      </c>
      <c r="H309" t="s">
        <v>87</v>
      </c>
      <c r="I309" s="35">
        <v>137200000</v>
      </c>
      <c r="J309" t="s">
        <v>885</v>
      </c>
      <c r="K309" t="s">
        <v>29</v>
      </c>
      <c r="L309" t="s">
        <v>826</v>
      </c>
      <c r="M309" s="151">
        <v>46142.597916666666</v>
      </c>
      <c r="N309" s="2">
        <v>46183</v>
      </c>
      <c r="O309" t="s">
        <v>69</v>
      </c>
      <c r="P309" t="s">
        <v>32</v>
      </c>
      <c r="Q309" t="s">
        <v>32</v>
      </c>
    </row>
    <row r="310" spans="2:17">
      <c r="B310" s="12" t="s">
        <v>895</v>
      </c>
      <c r="C310">
        <v>2026</v>
      </c>
      <c r="D310" t="s">
        <v>212</v>
      </c>
      <c r="E310" t="s">
        <v>896</v>
      </c>
      <c r="F310" t="s">
        <v>25</v>
      </c>
      <c r="H310" t="s">
        <v>584</v>
      </c>
      <c r="I310" s="35" t="s">
        <v>897</v>
      </c>
      <c r="J310" t="s">
        <v>898</v>
      </c>
      <c r="K310" t="s">
        <v>29</v>
      </c>
      <c r="L310" t="s">
        <v>94</v>
      </c>
      <c r="O310" t="s">
        <v>69</v>
      </c>
      <c r="P310" t="s">
        <v>32</v>
      </c>
      <c r="Q310" t="s">
        <v>32</v>
      </c>
    </row>
    <row r="311" spans="2:17">
      <c r="B311" t="s">
        <v>899</v>
      </c>
      <c r="C311">
        <v>2026</v>
      </c>
      <c r="D311" t="s">
        <v>261</v>
      </c>
      <c r="E311" t="s">
        <v>900</v>
      </c>
      <c r="F311" t="s">
        <v>25</v>
      </c>
      <c r="G311" t="s">
        <v>513</v>
      </c>
      <c r="H311" t="s">
        <v>810</v>
      </c>
      <c r="I311" s="35">
        <v>83300000</v>
      </c>
      <c r="J311" t="s">
        <v>867</v>
      </c>
      <c r="K311" t="s">
        <v>29</v>
      </c>
      <c r="L311" t="s">
        <v>55</v>
      </c>
      <c r="M311" s="2">
        <v>46153</v>
      </c>
      <c r="N311" s="2">
        <v>46195</v>
      </c>
      <c r="O311" t="s">
        <v>69</v>
      </c>
      <c r="P311" t="s">
        <v>460</v>
      </c>
      <c r="Q311" t="s">
        <v>460</v>
      </c>
    </row>
    <row r="312" spans="2:17">
      <c r="B312" t="s">
        <v>901</v>
      </c>
      <c r="C312">
        <v>2026</v>
      </c>
      <c r="D312" t="s">
        <v>261</v>
      </c>
      <c r="E312" t="s">
        <v>902</v>
      </c>
      <c r="F312" t="s">
        <v>25</v>
      </c>
      <c r="G312" t="s">
        <v>423</v>
      </c>
      <c r="H312" t="s">
        <v>123</v>
      </c>
      <c r="I312" s="35">
        <v>107900000</v>
      </c>
      <c r="J312" t="s">
        <v>903</v>
      </c>
      <c r="K312" t="s">
        <v>29</v>
      </c>
      <c r="L312" t="s">
        <v>566</v>
      </c>
      <c r="M312" s="2">
        <v>46174</v>
      </c>
      <c r="N312" s="2">
        <v>46204</v>
      </c>
      <c r="O312" t="s">
        <v>69</v>
      </c>
    </row>
    <row r="313" spans="2:17">
      <c r="B313" s="12" t="s">
        <v>904</v>
      </c>
      <c r="C313">
        <v>2026</v>
      </c>
      <c r="D313" t="s">
        <v>261</v>
      </c>
      <c r="E313" s="12" t="s">
        <v>905</v>
      </c>
      <c r="F313" t="s">
        <v>25</v>
      </c>
      <c r="G313" t="s">
        <v>443</v>
      </c>
      <c r="H313" t="s">
        <v>27</v>
      </c>
      <c r="O313" t="s">
        <v>51</v>
      </c>
    </row>
    <row r="314" spans="2:17">
      <c r="B314" s="12" t="s">
        <v>906</v>
      </c>
      <c r="C314">
        <v>2026</v>
      </c>
      <c r="D314" t="s">
        <v>261</v>
      </c>
      <c r="E314" s="12" t="s">
        <v>907</v>
      </c>
      <c r="F314" t="s">
        <v>25</v>
      </c>
      <c r="I314" s="173">
        <v>210720000</v>
      </c>
      <c r="J314" s="145" t="s">
        <v>903</v>
      </c>
      <c r="K314" t="s">
        <v>29</v>
      </c>
      <c r="L314" t="s">
        <v>191</v>
      </c>
    </row>
    <row r="315" spans="2:17" ht="30.75">
      <c r="B315" s="12" t="s">
        <v>908</v>
      </c>
      <c r="C315">
        <v>2026</v>
      </c>
      <c r="D315" t="s">
        <v>261</v>
      </c>
      <c r="E315" s="12" t="s">
        <v>909</v>
      </c>
      <c r="F315" t="s">
        <v>25</v>
      </c>
      <c r="H315" t="s">
        <v>889</v>
      </c>
      <c r="I315" s="171" t="s">
        <v>910</v>
      </c>
      <c r="J315" s="171" t="s">
        <v>867</v>
      </c>
      <c r="K315" t="s">
        <v>29</v>
      </c>
      <c r="L315" s="44" t="s">
        <v>911</v>
      </c>
      <c r="M315" s="44" t="s">
        <v>912</v>
      </c>
      <c r="N315" s="44" t="s">
        <v>913</v>
      </c>
      <c r="O315" t="s">
        <v>69</v>
      </c>
      <c r="P315" t="s">
        <v>460</v>
      </c>
    </row>
    <row r="316" spans="2:17">
      <c r="B316" s="12" t="s">
        <v>914</v>
      </c>
      <c r="C316">
        <v>2026</v>
      </c>
      <c r="D316" t="s">
        <v>274</v>
      </c>
      <c r="E316" s="12" t="s">
        <v>915</v>
      </c>
      <c r="F316" t="s">
        <v>25</v>
      </c>
      <c r="M316" s="172"/>
    </row>
    <row r="317" spans="2:17">
      <c r="B317" s="12" t="s">
        <v>916</v>
      </c>
      <c r="C317">
        <v>2026</v>
      </c>
      <c r="D317" t="s">
        <v>274</v>
      </c>
      <c r="E317" s="12" t="s">
        <v>917</v>
      </c>
      <c r="F317" t="s">
        <v>25</v>
      </c>
      <c r="H317" t="s">
        <v>862</v>
      </c>
      <c r="I317" t="s">
        <v>918</v>
      </c>
      <c r="J317" t="s">
        <v>919</v>
      </c>
      <c r="K317" t="s">
        <v>43</v>
      </c>
      <c r="L317" t="s">
        <v>920</v>
      </c>
      <c r="M317" t="s">
        <v>921</v>
      </c>
      <c r="N317" s="2">
        <v>46030</v>
      </c>
      <c r="O317" t="s">
        <v>69</v>
      </c>
      <c r="P317" t="s">
        <v>460</v>
      </c>
    </row>
    <row r="318" spans="2:17">
      <c r="B318" s="12" t="s">
        <v>922</v>
      </c>
      <c r="C318">
        <v>2026</v>
      </c>
      <c r="D318" t="s">
        <v>274</v>
      </c>
      <c r="E318" s="12" t="s">
        <v>923</v>
      </c>
      <c r="F318" t="s">
        <v>25</v>
      </c>
      <c r="H318" t="s">
        <v>889</v>
      </c>
      <c r="I318" s="17" t="s">
        <v>924</v>
      </c>
      <c r="J318" t="s">
        <v>867</v>
      </c>
      <c r="L318" t="s">
        <v>150</v>
      </c>
      <c r="M318" s="2">
        <v>46060</v>
      </c>
      <c r="N318" t="s">
        <v>925</v>
      </c>
      <c r="O318" t="s">
        <v>69</v>
      </c>
      <c r="P318" t="s">
        <v>460</v>
      </c>
    </row>
    <row r="319" spans="2:17" ht="30.75">
      <c r="B319" s="44" t="s">
        <v>926</v>
      </c>
      <c r="C319">
        <v>2026</v>
      </c>
      <c r="D319" t="s">
        <v>274</v>
      </c>
      <c r="E319" s="44" t="s">
        <v>927</v>
      </c>
      <c r="F319" t="s">
        <v>25</v>
      </c>
      <c r="G319" t="s">
        <v>443</v>
      </c>
      <c r="H319" t="s">
        <v>41</v>
      </c>
      <c r="I319" s="171" t="s">
        <v>928</v>
      </c>
      <c r="J319" s="171" t="s">
        <v>929</v>
      </c>
      <c r="K319" t="s">
        <v>930</v>
      </c>
      <c r="L319" s="171" t="s">
        <v>931</v>
      </c>
      <c r="M319" s="174">
        <v>46180</v>
      </c>
      <c r="N319" s="44" t="s">
        <v>932</v>
      </c>
      <c r="O319" t="s">
        <v>69</v>
      </c>
      <c r="P319" t="s">
        <v>460</v>
      </c>
    </row>
    <row r="320" spans="2:17">
      <c r="B320" t="s">
        <v>875</v>
      </c>
      <c r="C320">
        <v>2026</v>
      </c>
      <c r="D320" t="s">
        <v>274</v>
      </c>
      <c r="E320" t="s">
        <v>876</v>
      </c>
      <c r="F320" t="s">
        <v>25</v>
      </c>
      <c r="G320" t="s">
        <v>513</v>
      </c>
      <c r="H320" t="s">
        <v>810</v>
      </c>
      <c r="I320" s="35">
        <v>142144000</v>
      </c>
      <c r="J320" t="s">
        <v>867</v>
      </c>
      <c r="K320" t="s">
        <v>29</v>
      </c>
      <c r="L320" t="s">
        <v>150</v>
      </c>
      <c r="M320" t="s">
        <v>933</v>
      </c>
      <c r="N320" s="2">
        <v>46136</v>
      </c>
      <c r="O320" t="s">
        <v>69</v>
      </c>
    </row>
    <row r="321" spans="2:15" ht="30.75">
      <c r="B321" s="172" t="s">
        <v>934</v>
      </c>
      <c r="C321">
        <v>2026</v>
      </c>
      <c r="D321" t="s">
        <v>274</v>
      </c>
      <c r="E321" s="44" t="s">
        <v>935</v>
      </c>
      <c r="F321" t="s">
        <v>25</v>
      </c>
      <c r="G321" t="s">
        <v>443</v>
      </c>
      <c r="H321" t="s">
        <v>27</v>
      </c>
      <c r="I321" s="171" t="s">
        <v>936</v>
      </c>
      <c r="J321" s="171" t="s">
        <v>885</v>
      </c>
      <c r="K321" t="s">
        <v>937</v>
      </c>
      <c r="L321" s="44" t="s">
        <v>938</v>
      </c>
      <c r="M321" s="44" t="s">
        <v>939</v>
      </c>
      <c r="N321" s="174">
        <v>46029</v>
      </c>
      <c r="O321" t="s">
        <v>51</v>
      </c>
    </row>
    <row r="322" spans="2:15">
      <c r="B322" s="12" t="s">
        <v>827</v>
      </c>
      <c r="C322">
        <v>2026</v>
      </c>
      <c r="D322" t="s">
        <v>274</v>
      </c>
      <c r="E322" t="s">
        <v>940</v>
      </c>
      <c r="F322" t="s">
        <v>25</v>
      </c>
      <c r="G322" t="s">
        <v>26</v>
      </c>
      <c r="H322" t="s">
        <v>87</v>
      </c>
      <c r="I322" s="35">
        <v>1316320000</v>
      </c>
      <c r="J322" t="s">
        <v>780</v>
      </c>
      <c r="K322" t="s">
        <v>29</v>
      </c>
      <c r="L322" t="s">
        <v>781</v>
      </c>
      <c r="M322" s="2">
        <v>46048</v>
      </c>
      <c r="N322" s="2">
        <v>46086</v>
      </c>
      <c r="O322" t="s">
        <v>69</v>
      </c>
    </row>
    <row r="323" spans="2:15">
      <c r="B323" s="134" t="s">
        <v>875</v>
      </c>
      <c r="C323">
        <v>2026</v>
      </c>
      <c r="D323" t="s">
        <v>274</v>
      </c>
      <c r="E323" t="s">
        <v>876</v>
      </c>
      <c r="F323" t="s">
        <v>25</v>
      </c>
      <c r="G323" t="s">
        <v>513</v>
      </c>
      <c r="H323" t="s">
        <v>810</v>
      </c>
      <c r="I323" s="35">
        <v>142144000</v>
      </c>
      <c r="J323" t="s">
        <v>867</v>
      </c>
      <c r="K323" t="s">
        <v>29</v>
      </c>
      <c r="L323" t="s">
        <v>611</v>
      </c>
      <c r="M323" s="2">
        <v>46087</v>
      </c>
      <c r="N323" s="2">
        <v>46136</v>
      </c>
      <c r="O323" t="s">
        <v>69</v>
      </c>
    </row>
    <row r="324" spans="2:15">
      <c r="B324" t="s">
        <v>899</v>
      </c>
      <c r="C324">
        <v>2026</v>
      </c>
      <c r="D324" t="s">
        <v>274</v>
      </c>
      <c r="E324" t="s">
        <v>900</v>
      </c>
      <c r="F324" t="s">
        <v>25</v>
      </c>
      <c r="H324" t="s">
        <v>941</v>
      </c>
      <c r="I324" s="35">
        <v>83300000</v>
      </c>
      <c r="J324" t="s">
        <v>867</v>
      </c>
      <c r="K324" t="s">
        <v>29</v>
      </c>
      <c r="L324" t="s">
        <v>55</v>
      </c>
      <c r="M324" s="2">
        <v>46153</v>
      </c>
      <c r="N324" s="2">
        <v>46195</v>
      </c>
      <c r="O324" t="s">
        <v>69</v>
      </c>
    </row>
    <row r="325" spans="2:15" ht="30.75">
      <c r="B325" s="44" t="s">
        <v>942</v>
      </c>
      <c r="C325">
        <v>2026</v>
      </c>
      <c r="D325" t="s">
        <v>303</v>
      </c>
      <c r="E325" s="171" t="s">
        <v>943</v>
      </c>
      <c r="F325" t="s">
        <v>25</v>
      </c>
      <c r="G325" t="s">
        <v>26</v>
      </c>
      <c r="H325" t="s">
        <v>87</v>
      </c>
      <c r="I325" s="171" t="s">
        <v>944</v>
      </c>
      <c r="J325" s="171" t="s">
        <v>885</v>
      </c>
      <c r="K325" t="s">
        <v>29</v>
      </c>
      <c r="L325" s="171" t="s">
        <v>945</v>
      </c>
      <c r="M325" s="179">
        <v>46089</v>
      </c>
      <c r="N325" s="179">
        <v>46304</v>
      </c>
    </row>
    <row r="326" spans="2:15">
      <c r="B326" s="12" t="s">
        <v>875</v>
      </c>
      <c r="C326">
        <v>2026</v>
      </c>
      <c r="D326" t="s">
        <v>303</v>
      </c>
      <c r="E326" t="s">
        <v>876</v>
      </c>
      <c r="F326" t="s">
        <v>25</v>
      </c>
      <c r="G326" t="s">
        <v>513</v>
      </c>
      <c r="H326" t="s">
        <v>810</v>
      </c>
      <c r="I326" s="35">
        <v>142144000</v>
      </c>
      <c r="J326" t="s">
        <v>867</v>
      </c>
      <c r="K326" t="s">
        <v>29</v>
      </c>
      <c r="L326" t="s">
        <v>611</v>
      </c>
      <c r="M326" s="2">
        <v>46087</v>
      </c>
      <c r="N326" s="2">
        <v>46136</v>
      </c>
      <c r="O326" t="s">
        <v>69</v>
      </c>
    </row>
  </sheetData>
  <autoFilter ref="A1:P310" xr:uid="{AD2524AD-4D91-4B45-AE7E-A7621A1C1CE2}"/>
  <dataValidations count="3">
    <dataValidation type="list" allowBlank="1" showInputMessage="1" showErrorMessage="1" sqref="F2:F149 F218 F152:F214 F216 F225:F226 F228 F231:F242 F274:F275 F287 F292:F293 F244:F263" xr:uid="{37443CED-48E9-4139-9ED5-1E8DB77A696E}">
      <formula1>"CRM,SSO,Nomor Akses"</formula1>
    </dataValidation>
    <dataValidation type="list" allowBlank="1" showInputMessage="1" showErrorMessage="1" sqref="P240:P242 Q2:T694 P244:P369" xr:uid="{93BABC8E-8666-41C5-907F-667FDB3E8E1A}">
      <formula1>"Done,OGP"</formula1>
    </dataValidation>
    <dataValidation type="list" allowBlank="1" showInputMessage="1" showErrorMessage="1" sqref="F264:F268 F270:F273 F276:F286 F288:F291 F294:F1048576" xr:uid="{BCD7CF7B-D97C-4E1D-8093-0A9DB0F1B71B}">
      <formula1>"CRM,SSO,Nomor Akses,Non Project"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9BF0-DB3E-41BD-8A09-2D56F357EEC0}">
  <sheetPr filterMode="1"/>
  <dimension ref="A1:W1135"/>
  <sheetViews>
    <sheetView tabSelected="1" workbookViewId="0">
      <pane ySplit="1" topLeftCell="D862" activePane="bottomLeft" state="frozen"/>
      <selection pane="bottomLeft" activeCell="M867" sqref="M867"/>
    </sheetView>
  </sheetViews>
  <sheetFormatPr defaultRowHeight="15"/>
  <cols>
    <col min="1" max="1" width="4.42578125" bestFit="1" customWidth="1"/>
    <col min="2" max="2" width="10.140625" customWidth="1"/>
    <col min="3" max="3" width="9" bestFit="1" customWidth="1"/>
    <col min="4" max="4" width="11.42578125" bestFit="1" customWidth="1"/>
    <col min="5" max="5" width="85.42578125" customWidth="1"/>
    <col min="6" max="6" width="24.28515625" hidden="1" customWidth="1"/>
    <col min="7" max="7" width="26.7109375" hidden="1" customWidth="1"/>
    <col min="8" max="8" width="12.5703125" bestFit="1" customWidth="1"/>
    <col min="9" max="9" width="16.5703125" customWidth="1"/>
    <col min="10" max="10" width="12.28515625" customWidth="1"/>
    <col min="11" max="11" width="18.42578125" style="70" hidden="1" customWidth="1"/>
    <col min="12" max="12" width="16.7109375" hidden="1" customWidth="1"/>
    <col min="13" max="13" width="18.140625" customWidth="1"/>
    <col min="14" max="14" width="21.28515625" style="64" customWidth="1"/>
    <col min="15" max="15" width="19.85546875" customWidth="1"/>
    <col min="16" max="16" width="15.7109375" customWidth="1"/>
    <col min="17" max="17" width="7.5703125" customWidth="1"/>
    <col min="18" max="19" width="8" customWidth="1"/>
    <col min="20" max="20" width="16" customWidth="1"/>
    <col min="21" max="21" width="37.85546875" customWidth="1"/>
    <col min="22" max="22" width="30.140625" customWidth="1"/>
    <col min="23" max="23" width="7.28515625" bestFit="1" customWidth="1"/>
  </cols>
  <sheetData>
    <row r="1" spans="1:23" s="13" customFormat="1">
      <c r="A1" s="13" t="s">
        <v>946</v>
      </c>
      <c r="B1" s="13" t="s">
        <v>3</v>
      </c>
      <c r="C1" s="13" t="s">
        <v>2</v>
      </c>
      <c r="D1" s="13" t="s">
        <v>947</v>
      </c>
      <c r="E1" s="13" t="s">
        <v>16</v>
      </c>
      <c r="F1" s="13" t="s">
        <v>948</v>
      </c>
      <c r="G1" s="13" t="s">
        <v>949</v>
      </c>
      <c r="H1" s="13" t="s">
        <v>950</v>
      </c>
      <c r="I1" s="13" t="s">
        <v>951</v>
      </c>
      <c r="J1" s="13" t="s">
        <v>952</v>
      </c>
      <c r="K1" s="69" t="s">
        <v>953</v>
      </c>
      <c r="L1" s="13" t="s">
        <v>954</v>
      </c>
      <c r="M1" s="13" t="s">
        <v>955</v>
      </c>
      <c r="N1" s="71" t="s">
        <v>956</v>
      </c>
      <c r="O1" s="13" t="s">
        <v>957</v>
      </c>
      <c r="P1" s="13" t="s">
        <v>958</v>
      </c>
      <c r="Q1" s="13" t="s">
        <v>959</v>
      </c>
      <c r="R1" s="13" t="s">
        <v>960</v>
      </c>
      <c r="S1" s="13" t="s">
        <v>961</v>
      </c>
      <c r="T1" s="13" t="s">
        <v>962</v>
      </c>
      <c r="U1" s="13" t="s">
        <v>963</v>
      </c>
      <c r="V1" s="13" t="s">
        <v>964</v>
      </c>
      <c r="W1" s="13" t="s">
        <v>965</v>
      </c>
    </row>
    <row r="2" spans="1:23" hidden="1">
      <c r="B2" t="s">
        <v>338</v>
      </c>
      <c r="C2">
        <v>2022</v>
      </c>
      <c r="D2" s="2">
        <v>44825</v>
      </c>
      <c r="E2" t="s">
        <v>966</v>
      </c>
      <c r="H2" t="s">
        <v>967</v>
      </c>
      <c r="I2" t="s">
        <v>48</v>
      </c>
      <c r="J2" t="s">
        <v>968</v>
      </c>
      <c r="M2" t="s">
        <v>969</v>
      </c>
      <c r="N2" s="64">
        <v>888337522249</v>
      </c>
      <c r="R2" t="s">
        <v>970</v>
      </c>
      <c r="V2" s="2">
        <v>44827</v>
      </c>
      <c r="W2" s="46" t="s">
        <v>971</v>
      </c>
    </row>
    <row r="3" spans="1:23" hidden="1">
      <c r="B3" t="s">
        <v>261</v>
      </c>
      <c r="C3">
        <v>2023</v>
      </c>
      <c r="D3" s="2">
        <v>45090</v>
      </c>
      <c r="E3" t="s">
        <v>972</v>
      </c>
      <c r="H3" t="s">
        <v>967</v>
      </c>
      <c r="I3" t="s">
        <v>973</v>
      </c>
      <c r="J3" t="s">
        <v>968</v>
      </c>
      <c r="M3" t="s">
        <v>974</v>
      </c>
      <c r="N3" s="64">
        <v>1758576065</v>
      </c>
      <c r="R3" t="s">
        <v>970</v>
      </c>
      <c r="V3" s="2">
        <v>45111</v>
      </c>
      <c r="W3" s="46" t="s">
        <v>971</v>
      </c>
    </row>
    <row r="4" spans="1:23" hidden="1">
      <c r="B4" t="s">
        <v>261</v>
      </c>
      <c r="C4">
        <v>2023</v>
      </c>
      <c r="D4" s="2">
        <v>45097</v>
      </c>
      <c r="E4" t="s">
        <v>975</v>
      </c>
      <c r="H4" t="s">
        <v>967</v>
      </c>
      <c r="I4" t="s">
        <v>973</v>
      </c>
      <c r="J4" t="s">
        <v>968</v>
      </c>
      <c r="M4" t="s">
        <v>976</v>
      </c>
      <c r="N4" s="64">
        <v>1761505393</v>
      </c>
      <c r="R4" t="s">
        <v>970</v>
      </c>
      <c r="V4" s="2">
        <v>45117</v>
      </c>
      <c r="W4" s="46" t="s">
        <v>971</v>
      </c>
    </row>
    <row r="5" spans="1:23" hidden="1">
      <c r="B5" t="s">
        <v>261</v>
      </c>
      <c r="C5">
        <v>2023</v>
      </c>
      <c r="D5" s="2">
        <v>45097</v>
      </c>
      <c r="E5" t="s">
        <v>975</v>
      </c>
      <c r="H5" t="s">
        <v>967</v>
      </c>
      <c r="I5" t="s">
        <v>973</v>
      </c>
      <c r="J5" t="s">
        <v>968</v>
      </c>
      <c r="M5" t="s">
        <v>977</v>
      </c>
      <c r="N5" s="64">
        <v>1758506619</v>
      </c>
      <c r="O5">
        <v>1761507764</v>
      </c>
      <c r="R5" t="s">
        <v>970</v>
      </c>
      <c r="V5" s="2">
        <v>45117</v>
      </c>
      <c r="W5" s="46" t="s">
        <v>971</v>
      </c>
    </row>
    <row r="6" spans="1:23" hidden="1">
      <c r="B6" t="s">
        <v>261</v>
      </c>
      <c r="C6">
        <v>2023</v>
      </c>
      <c r="D6" s="2">
        <v>45103</v>
      </c>
      <c r="E6" t="s">
        <v>978</v>
      </c>
      <c r="H6" t="s">
        <v>967</v>
      </c>
      <c r="I6" t="s">
        <v>973</v>
      </c>
      <c r="J6" t="s">
        <v>968</v>
      </c>
      <c r="M6" t="s">
        <v>979</v>
      </c>
      <c r="N6" s="64">
        <v>1763316563</v>
      </c>
      <c r="R6" t="s">
        <v>970</v>
      </c>
      <c r="V6" s="2">
        <v>45120</v>
      </c>
      <c r="W6" s="46" t="s">
        <v>971</v>
      </c>
    </row>
    <row r="7" spans="1:23" hidden="1">
      <c r="B7" t="s">
        <v>274</v>
      </c>
      <c r="C7">
        <v>2023</v>
      </c>
      <c r="D7" s="2">
        <v>45110</v>
      </c>
      <c r="E7" t="s">
        <v>980</v>
      </c>
      <c r="H7" t="s">
        <v>967</v>
      </c>
      <c r="I7" t="s">
        <v>973</v>
      </c>
      <c r="J7" t="s">
        <v>968</v>
      </c>
      <c r="M7" t="s">
        <v>981</v>
      </c>
      <c r="N7" s="64">
        <v>1761375294</v>
      </c>
      <c r="O7">
        <v>1761162396</v>
      </c>
      <c r="R7" t="s">
        <v>970</v>
      </c>
      <c r="V7" s="2">
        <v>45117</v>
      </c>
      <c r="W7" s="46" t="s">
        <v>971</v>
      </c>
    </row>
    <row r="8" spans="1:23" hidden="1">
      <c r="B8" t="s">
        <v>274</v>
      </c>
      <c r="C8">
        <v>2023</v>
      </c>
      <c r="D8" s="2">
        <v>45114</v>
      </c>
      <c r="E8" t="s">
        <v>982</v>
      </c>
      <c r="H8" t="s">
        <v>967</v>
      </c>
      <c r="I8" t="s">
        <v>973</v>
      </c>
      <c r="J8" t="s">
        <v>968</v>
      </c>
      <c r="M8" t="s">
        <v>983</v>
      </c>
      <c r="N8" s="64">
        <v>1758421735</v>
      </c>
      <c r="R8" t="s">
        <v>970</v>
      </c>
      <c r="V8" s="2">
        <v>45100</v>
      </c>
      <c r="W8" s="46" t="s">
        <v>971</v>
      </c>
    </row>
    <row r="9" spans="1:23" hidden="1">
      <c r="B9" t="s">
        <v>274</v>
      </c>
      <c r="C9">
        <v>2023</v>
      </c>
      <c r="D9" s="2">
        <v>45117</v>
      </c>
      <c r="E9" t="s">
        <v>984</v>
      </c>
      <c r="H9" t="s">
        <v>985</v>
      </c>
      <c r="I9" t="s">
        <v>48</v>
      </c>
      <c r="J9" t="s">
        <v>968</v>
      </c>
      <c r="M9" t="s">
        <v>986</v>
      </c>
      <c r="N9" s="64" t="s">
        <v>987</v>
      </c>
      <c r="R9" t="s">
        <v>970</v>
      </c>
      <c r="V9" s="2">
        <v>45121</v>
      </c>
      <c r="W9" s="46" t="s">
        <v>971</v>
      </c>
    </row>
    <row r="10" spans="1:23" hidden="1">
      <c r="B10" t="s">
        <v>408</v>
      </c>
      <c r="C10">
        <v>2023</v>
      </c>
      <c r="D10" s="2">
        <v>45278</v>
      </c>
      <c r="E10" t="s">
        <v>988</v>
      </c>
      <c r="F10" t="s">
        <v>989</v>
      </c>
      <c r="H10" t="s">
        <v>967</v>
      </c>
      <c r="I10" t="s">
        <v>973</v>
      </c>
      <c r="J10" t="s">
        <v>968</v>
      </c>
      <c r="M10" t="s">
        <v>990</v>
      </c>
      <c r="N10" s="64">
        <v>1927800876</v>
      </c>
      <c r="O10">
        <v>1915062978</v>
      </c>
      <c r="R10" t="s">
        <v>970</v>
      </c>
      <c r="V10" s="2">
        <v>45349</v>
      </c>
      <c r="W10" s="46" t="s">
        <v>971</v>
      </c>
    </row>
    <row r="11" spans="1:23" hidden="1">
      <c r="B11" t="s">
        <v>408</v>
      </c>
      <c r="C11">
        <v>2023</v>
      </c>
      <c r="D11" s="2">
        <v>45222</v>
      </c>
      <c r="E11" t="s">
        <v>991</v>
      </c>
      <c r="H11" t="s">
        <v>967</v>
      </c>
      <c r="I11" t="s">
        <v>973</v>
      </c>
      <c r="J11" t="s">
        <v>968</v>
      </c>
      <c r="M11" t="s">
        <v>992</v>
      </c>
      <c r="N11" s="64">
        <v>1787711454</v>
      </c>
      <c r="O11">
        <v>1788693609</v>
      </c>
      <c r="R11" t="s">
        <v>970</v>
      </c>
      <c r="V11" s="2">
        <v>45222</v>
      </c>
      <c r="W11" s="46" t="s">
        <v>971</v>
      </c>
    </row>
    <row r="12" spans="1:23" hidden="1">
      <c r="B12" t="s">
        <v>408</v>
      </c>
      <c r="C12">
        <v>2023</v>
      </c>
      <c r="D12" s="2">
        <v>45267</v>
      </c>
      <c r="E12" t="s">
        <v>993</v>
      </c>
      <c r="H12" t="s">
        <v>967</v>
      </c>
      <c r="I12" t="s">
        <v>973</v>
      </c>
      <c r="J12" t="s">
        <v>968</v>
      </c>
      <c r="M12" t="s">
        <v>994</v>
      </c>
      <c r="N12" s="64">
        <v>1883036085</v>
      </c>
      <c r="R12" t="s">
        <v>970</v>
      </c>
      <c r="V12" s="2">
        <v>45267</v>
      </c>
      <c r="W12" s="46" t="s">
        <v>971</v>
      </c>
    </row>
    <row r="13" spans="1:23" hidden="1">
      <c r="A13">
        <v>7</v>
      </c>
      <c r="B13" t="s">
        <v>23</v>
      </c>
      <c r="C13">
        <v>2024</v>
      </c>
      <c r="D13" s="2">
        <v>45300</v>
      </c>
      <c r="E13" t="s">
        <v>995</v>
      </c>
      <c r="F13" t="s">
        <v>33</v>
      </c>
      <c r="G13" t="s">
        <v>996</v>
      </c>
      <c r="H13" t="s">
        <v>967</v>
      </c>
      <c r="I13" t="s">
        <v>48</v>
      </c>
      <c r="J13" t="s">
        <v>968</v>
      </c>
      <c r="M13">
        <v>7000153184</v>
      </c>
      <c r="N13" s="64" t="s">
        <v>997</v>
      </c>
      <c r="R13" t="s">
        <v>970</v>
      </c>
      <c r="T13" s="17">
        <v>2500000</v>
      </c>
      <c r="U13" t="s">
        <v>998</v>
      </c>
      <c r="V13" s="2">
        <v>45293</v>
      </c>
    </row>
    <row r="14" spans="1:23" hidden="1">
      <c r="A14">
        <v>10</v>
      </c>
      <c r="B14" t="s">
        <v>23</v>
      </c>
      <c r="C14">
        <v>2024</v>
      </c>
      <c r="D14" s="2">
        <v>45302</v>
      </c>
      <c r="E14" t="s">
        <v>999</v>
      </c>
      <c r="F14" t="s">
        <v>56</v>
      </c>
      <c r="G14" t="s">
        <v>1000</v>
      </c>
      <c r="H14" t="s">
        <v>967</v>
      </c>
      <c r="I14" t="s">
        <v>48</v>
      </c>
      <c r="J14" t="s">
        <v>968</v>
      </c>
      <c r="M14" t="s">
        <v>1001</v>
      </c>
      <c r="N14" s="64">
        <v>888389899665</v>
      </c>
      <c r="R14" t="s">
        <v>970</v>
      </c>
      <c r="T14" s="17">
        <v>2500000</v>
      </c>
      <c r="U14" t="s">
        <v>1002</v>
      </c>
      <c r="V14" s="2">
        <v>45324</v>
      </c>
    </row>
    <row r="15" spans="1:23" hidden="1">
      <c r="A15">
        <v>25</v>
      </c>
      <c r="B15" t="s">
        <v>23</v>
      </c>
      <c r="C15">
        <v>2024</v>
      </c>
      <c r="D15" s="2">
        <v>45315</v>
      </c>
      <c r="E15" t="s">
        <v>1003</v>
      </c>
      <c r="F15" t="s">
        <v>1004</v>
      </c>
      <c r="G15" t="s">
        <v>1005</v>
      </c>
      <c r="H15" t="s">
        <v>967</v>
      </c>
      <c r="I15" t="s">
        <v>48</v>
      </c>
      <c r="J15" t="s">
        <v>968</v>
      </c>
      <c r="M15" t="s">
        <v>1006</v>
      </c>
      <c r="N15" s="64">
        <v>888391471517</v>
      </c>
      <c r="R15" t="s">
        <v>970</v>
      </c>
      <c r="T15" s="17">
        <v>580000</v>
      </c>
      <c r="U15" t="s">
        <v>1007</v>
      </c>
      <c r="V15" s="2">
        <v>45324</v>
      </c>
    </row>
    <row r="16" spans="1:23" hidden="1">
      <c r="A16">
        <v>30</v>
      </c>
      <c r="B16" t="s">
        <v>96</v>
      </c>
      <c r="C16">
        <v>2024</v>
      </c>
      <c r="D16" s="2">
        <v>45323</v>
      </c>
      <c r="E16" s="44" t="s">
        <v>1008</v>
      </c>
      <c r="F16" t="s">
        <v>80</v>
      </c>
      <c r="G16" t="s">
        <v>1009</v>
      </c>
      <c r="H16" t="s">
        <v>967</v>
      </c>
      <c r="I16" t="s">
        <v>48</v>
      </c>
      <c r="J16" t="s">
        <v>968</v>
      </c>
      <c r="M16" t="s">
        <v>1010</v>
      </c>
      <c r="N16" s="72">
        <v>888392001897</v>
      </c>
      <c r="R16" t="s">
        <v>970</v>
      </c>
      <c r="T16" s="17">
        <v>2500000</v>
      </c>
      <c r="U16" t="s">
        <v>1011</v>
      </c>
      <c r="V16" s="2">
        <v>45327</v>
      </c>
      <c r="W16" s="46" t="s">
        <v>971</v>
      </c>
    </row>
    <row r="17" spans="1:23" hidden="1">
      <c r="A17">
        <v>33</v>
      </c>
      <c r="B17" t="s">
        <v>96</v>
      </c>
      <c r="C17">
        <v>2024</v>
      </c>
      <c r="D17" s="2">
        <v>45323</v>
      </c>
      <c r="E17" t="s">
        <v>1012</v>
      </c>
      <c r="F17" t="s">
        <v>1013</v>
      </c>
      <c r="G17" t="s">
        <v>1014</v>
      </c>
      <c r="H17" t="s">
        <v>967</v>
      </c>
      <c r="I17" t="s">
        <v>48</v>
      </c>
      <c r="J17" t="s">
        <v>968</v>
      </c>
      <c r="M17" t="s">
        <v>1015</v>
      </c>
      <c r="N17" s="64" t="s">
        <v>1016</v>
      </c>
      <c r="R17" t="s">
        <v>970</v>
      </c>
      <c r="T17" s="17">
        <v>580000</v>
      </c>
      <c r="U17" t="s">
        <v>1017</v>
      </c>
      <c r="V17" s="2">
        <v>45324</v>
      </c>
    </row>
    <row r="18" spans="1:23" hidden="1">
      <c r="A18">
        <v>34</v>
      </c>
      <c r="B18" t="s">
        <v>96</v>
      </c>
      <c r="C18">
        <v>2024</v>
      </c>
      <c r="D18" s="2">
        <v>45323</v>
      </c>
      <c r="E18" t="s">
        <v>1018</v>
      </c>
      <c r="F18" t="s">
        <v>82</v>
      </c>
      <c r="G18" t="s">
        <v>1019</v>
      </c>
      <c r="H18" t="s">
        <v>967</v>
      </c>
      <c r="I18" t="s">
        <v>48</v>
      </c>
      <c r="J18" t="s">
        <v>968</v>
      </c>
      <c r="M18" t="s">
        <v>1020</v>
      </c>
      <c r="N18" s="64" t="s">
        <v>1021</v>
      </c>
      <c r="R18" t="s">
        <v>970</v>
      </c>
      <c r="T18" s="17">
        <v>580000</v>
      </c>
      <c r="U18" t="s">
        <v>1022</v>
      </c>
      <c r="V18" s="2">
        <v>45328</v>
      </c>
    </row>
    <row r="19" spans="1:23" hidden="1">
      <c r="A19">
        <v>43</v>
      </c>
      <c r="B19" t="s">
        <v>96</v>
      </c>
      <c r="C19">
        <v>2024</v>
      </c>
      <c r="D19" s="2">
        <v>45341</v>
      </c>
      <c r="E19" t="s">
        <v>1023</v>
      </c>
      <c r="F19" t="s">
        <v>92</v>
      </c>
      <c r="G19" t="s">
        <v>1024</v>
      </c>
      <c r="H19" t="s">
        <v>967</v>
      </c>
      <c r="I19" t="s">
        <v>48</v>
      </c>
      <c r="J19" t="s">
        <v>968</v>
      </c>
      <c r="M19" t="s">
        <v>1025</v>
      </c>
      <c r="R19" t="s">
        <v>970</v>
      </c>
      <c r="T19" s="17">
        <v>2500000</v>
      </c>
      <c r="U19" t="s">
        <v>1026</v>
      </c>
      <c r="V19" s="2">
        <v>45343</v>
      </c>
      <c r="W19" s="46" t="s">
        <v>971</v>
      </c>
    </row>
    <row r="20" spans="1:23" hidden="1">
      <c r="A20">
        <v>45</v>
      </c>
      <c r="B20" t="s">
        <v>96</v>
      </c>
      <c r="C20">
        <v>2024</v>
      </c>
      <c r="D20" s="2">
        <v>45345</v>
      </c>
      <c r="E20" t="s">
        <v>1027</v>
      </c>
      <c r="F20" t="s">
        <v>137</v>
      </c>
      <c r="G20" t="s">
        <v>1028</v>
      </c>
      <c r="H20" t="s">
        <v>967</v>
      </c>
      <c r="I20" t="s">
        <v>48</v>
      </c>
      <c r="J20" t="s">
        <v>968</v>
      </c>
      <c r="M20" t="s">
        <v>1029</v>
      </c>
      <c r="N20" s="64">
        <v>888393977136</v>
      </c>
      <c r="R20" t="s">
        <v>970</v>
      </c>
      <c r="T20" s="17">
        <v>2500000</v>
      </c>
      <c r="U20" t="s">
        <v>1030</v>
      </c>
      <c r="V20" s="2">
        <v>45349</v>
      </c>
      <c r="W20" s="46" t="s">
        <v>971</v>
      </c>
    </row>
    <row r="21" spans="1:23" hidden="1">
      <c r="A21">
        <v>57</v>
      </c>
      <c r="B21" t="s">
        <v>144</v>
      </c>
      <c r="C21">
        <v>2024</v>
      </c>
      <c r="D21" s="2">
        <v>45365</v>
      </c>
      <c r="E21" t="s">
        <v>1031</v>
      </c>
      <c r="F21" t="s">
        <v>135</v>
      </c>
      <c r="G21" t="s">
        <v>1032</v>
      </c>
      <c r="H21" t="s">
        <v>967</v>
      </c>
      <c r="I21" t="s">
        <v>48</v>
      </c>
      <c r="J21" t="s">
        <v>968</v>
      </c>
      <c r="M21" t="s">
        <v>1033</v>
      </c>
      <c r="R21" t="s">
        <v>970</v>
      </c>
      <c r="T21" s="17">
        <v>3080000</v>
      </c>
      <c r="W21" s="46" t="s">
        <v>971</v>
      </c>
    </row>
    <row r="22" spans="1:23" hidden="1">
      <c r="A22">
        <v>59</v>
      </c>
      <c r="B22" t="s">
        <v>144</v>
      </c>
      <c r="C22">
        <v>2024</v>
      </c>
      <c r="D22" s="2">
        <v>45369</v>
      </c>
      <c r="E22" t="s">
        <v>1034</v>
      </c>
      <c r="F22" t="s">
        <v>146</v>
      </c>
      <c r="G22" t="s">
        <v>1035</v>
      </c>
      <c r="H22" t="s">
        <v>967</v>
      </c>
      <c r="I22" t="s">
        <v>48</v>
      </c>
      <c r="J22" t="s">
        <v>968</v>
      </c>
      <c r="M22" t="s">
        <v>1036</v>
      </c>
      <c r="N22" s="64">
        <v>888396223561</v>
      </c>
      <c r="R22" t="s">
        <v>970</v>
      </c>
      <c r="T22" s="17">
        <v>2500000</v>
      </c>
      <c r="V22" s="2">
        <v>45373</v>
      </c>
      <c r="W22" s="46" t="s">
        <v>971</v>
      </c>
    </row>
    <row r="23" spans="1:23" hidden="1">
      <c r="A23">
        <v>66</v>
      </c>
      <c r="B23" t="s">
        <v>144</v>
      </c>
      <c r="C23">
        <v>2024</v>
      </c>
      <c r="D23" s="2">
        <v>45376</v>
      </c>
      <c r="E23" t="s">
        <v>1037</v>
      </c>
      <c r="F23" t="s">
        <v>1038</v>
      </c>
      <c r="G23" t="s">
        <v>1039</v>
      </c>
      <c r="H23" t="s">
        <v>967</v>
      </c>
      <c r="I23" t="s">
        <v>48</v>
      </c>
      <c r="J23" t="s">
        <v>968</v>
      </c>
      <c r="M23" t="s">
        <v>1040</v>
      </c>
      <c r="N23" s="64">
        <v>888396879847</v>
      </c>
      <c r="R23" t="s">
        <v>970</v>
      </c>
      <c r="T23" s="17"/>
      <c r="V23" s="2">
        <v>45378</v>
      </c>
      <c r="W23" s="46" t="s">
        <v>971</v>
      </c>
    </row>
    <row r="24" spans="1:23" hidden="1">
      <c r="B24" t="s">
        <v>144</v>
      </c>
      <c r="C24">
        <v>2024</v>
      </c>
      <c r="D24" s="2">
        <v>45377</v>
      </c>
      <c r="E24" t="s">
        <v>1041</v>
      </c>
      <c r="H24" t="s">
        <v>967</v>
      </c>
      <c r="I24" t="s">
        <v>973</v>
      </c>
      <c r="J24" t="s">
        <v>968</v>
      </c>
      <c r="M24" t="s">
        <v>1042</v>
      </c>
      <c r="N24" s="64">
        <v>1931773524</v>
      </c>
      <c r="R24" t="s">
        <v>970</v>
      </c>
      <c r="T24" s="17"/>
      <c r="V24" s="2">
        <v>45377</v>
      </c>
      <c r="W24" s="46" t="s">
        <v>971</v>
      </c>
    </row>
    <row r="25" spans="1:23" hidden="1">
      <c r="A25">
        <v>88</v>
      </c>
      <c r="B25" t="s">
        <v>212</v>
      </c>
      <c r="C25">
        <v>2024</v>
      </c>
      <c r="D25" s="2">
        <v>45419</v>
      </c>
      <c r="E25" t="s">
        <v>1043</v>
      </c>
      <c r="F25" t="s">
        <v>216</v>
      </c>
      <c r="G25" t="s">
        <v>1044</v>
      </c>
      <c r="H25" t="s">
        <v>967</v>
      </c>
      <c r="I25" t="s">
        <v>48</v>
      </c>
      <c r="J25" t="s">
        <v>968</v>
      </c>
      <c r="M25" t="s">
        <v>1045</v>
      </c>
      <c r="R25" t="s">
        <v>970</v>
      </c>
      <c r="T25" s="17"/>
      <c r="U25" t="s">
        <v>1046</v>
      </c>
      <c r="V25" s="2">
        <v>45425</v>
      </c>
      <c r="W25" s="46" t="s">
        <v>971</v>
      </c>
    </row>
    <row r="26" spans="1:23" hidden="1">
      <c r="A26">
        <v>92</v>
      </c>
      <c r="B26" t="s">
        <v>212</v>
      </c>
      <c r="C26">
        <v>2024</v>
      </c>
      <c r="D26" s="2">
        <v>45426</v>
      </c>
      <c r="E26" t="s">
        <v>1047</v>
      </c>
      <c r="F26" t="s">
        <v>233</v>
      </c>
      <c r="G26" t="s">
        <v>1048</v>
      </c>
      <c r="H26" t="s">
        <v>967</v>
      </c>
      <c r="I26" t="s">
        <v>48</v>
      </c>
      <c r="J26" t="s">
        <v>968</v>
      </c>
      <c r="M26" t="s">
        <v>1049</v>
      </c>
      <c r="Q26" t="s">
        <v>1050</v>
      </c>
      <c r="R26" t="s">
        <v>970</v>
      </c>
      <c r="T26" s="17"/>
      <c r="U26" t="s">
        <v>1051</v>
      </c>
      <c r="V26" s="2">
        <v>45429</v>
      </c>
      <c r="W26" s="46" t="s">
        <v>971</v>
      </c>
    </row>
    <row r="27" spans="1:23" hidden="1">
      <c r="A27">
        <v>97</v>
      </c>
      <c r="B27" t="s">
        <v>212</v>
      </c>
      <c r="C27">
        <v>2024</v>
      </c>
      <c r="D27" s="2">
        <v>45428</v>
      </c>
      <c r="E27" t="s">
        <v>1052</v>
      </c>
      <c r="F27" t="s">
        <v>1053</v>
      </c>
      <c r="G27" t="s">
        <v>1053</v>
      </c>
      <c r="H27" t="s">
        <v>967</v>
      </c>
      <c r="I27" t="s">
        <v>48</v>
      </c>
      <c r="J27" t="s">
        <v>968</v>
      </c>
      <c r="M27" t="s">
        <v>1054</v>
      </c>
      <c r="Q27" t="s">
        <v>1055</v>
      </c>
      <c r="R27" t="s">
        <v>970</v>
      </c>
      <c r="T27" s="17"/>
      <c r="U27" t="s">
        <v>1056</v>
      </c>
      <c r="V27" s="2">
        <v>45477</v>
      </c>
      <c r="W27" s="46" t="s">
        <v>971</v>
      </c>
    </row>
    <row r="28" spans="1:23" hidden="1">
      <c r="A28">
        <v>99</v>
      </c>
      <c r="B28" t="s">
        <v>212</v>
      </c>
      <c r="C28">
        <v>2024</v>
      </c>
      <c r="D28" s="2">
        <v>45433</v>
      </c>
      <c r="E28" t="s">
        <v>1057</v>
      </c>
      <c r="F28" t="s">
        <v>240</v>
      </c>
      <c r="G28" t="s">
        <v>1058</v>
      </c>
      <c r="H28" t="s">
        <v>967</v>
      </c>
      <c r="I28" t="s">
        <v>48</v>
      </c>
      <c r="J28" t="s">
        <v>968</v>
      </c>
      <c r="M28" t="s">
        <v>1059</v>
      </c>
      <c r="Q28" t="s">
        <v>1060</v>
      </c>
      <c r="R28" t="s">
        <v>970</v>
      </c>
      <c r="T28" s="17"/>
      <c r="U28" t="s">
        <v>1061</v>
      </c>
      <c r="V28" s="2">
        <v>45437</v>
      </c>
      <c r="W28" s="46" t="s">
        <v>971</v>
      </c>
    </row>
    <row r="29" spans="1:23" hidden="1">
      <c r="A29">
        <v>100</v>
      </c>
      <c r="B29" t="s">
        <v>212</v>
      </c>
      <c r="C29">
        <v>2024</v>
      </c>
      <c r="D29" s="2">
        <v>45433</v>
      </c>
      <c r="E29" t="s">
        <v>1062</v>
      </c>
      <c r="F29" t="s">
        <v>207</v>
      </c>
      <c r="G29" t="s">
        <v>1063</v>
      </c>
      <c r="H29" t="s">
        <v>967</v>
      </c>
      <c r="I29" t="s">
        <v>48</v>
      </c>
      <c r="J29" t="s">
        <v>968</v>
      </c>
      <c r="M29" t="s">
        <v>1064</v>
      </c>
      <c r="Q29" t="s">
        <v>1065</v>
      </c>
      <c r="R29" t="s">
        <v>970</v>
      </c>
      <c r="T29" s="17"/>
      <c r="U29" t="s">
        <v>1066</v>
      </c>
      <c r="V29" s="2">
        <v>45437</v>
      </c>
      <c r="W29" s="46" t="s">
        <v>971</v>
      </c>
    </row>
    <row r="30" spans="1:23" hidden="1">
      <c r="A30">
        <v>112</v>
      </c>
      <c r="B30" t="s">
        <v>212</v>
      </c>
      <c r="C30">
        <v>2024</v>
      </c>
      <c r="D30" s="2">
        <v>45443</v>
      </c>
      <c r="E30" t="s">
        <v>1067</v>
      </c>
      <c r="F30" t="s">
        <v>1068</v>
      </c>
      <c r="G30" t="s">
        <v>1069</v>
      </c>
      <c r="H30" t="s">
        <v>967</v>
      </c>
      <c r="I30" t="s">
        <v>48</v>
      </c>
      <c r="J30" t="s">
        <v>968</v>
      </c>
      <c r="M30" s="44" t="s">
        <v>1070</v>
      </c>
      <c r="N30" s="64">
        <v>888272034303</v>
      </c>
      <c r="R30" t="s">
        <v>970</v>
      </c>
      <c r="T30" s="17"/>
      <c r="W30" s="46" t="s">
        <v>971</v>
      </c>
    </row>
    <row r="31" spans="1:23" hidden="1">
      <c r="B31" t="s">
        <v>212</v>
      </c>
      <c r="C31">
        <v>2024</v>
      </c>
      <c r="D31" s="2">
        <v>45443</v>
      </c>
      <c r="E31" t="s">
        <v>1071</v>
      </c>
      <c r="F31" t="s">
        <v>1068</v>
      </c>
      <c r="G31" t="s">
        <v>1069</v>
      </c>
      <c r="H31" t="s">
        <v>967</v>
      </c>
      <c r="I31" t="s">
        <v>48</v>
      </c>
      <c r="J31" t="s">
        <v>968</v>
      </c>
      <c r="M31" s="44" t="s">
        <v>1072</v>
      </c>
      <c r="R31" t="s">
        <v>970</v>
      </c>
      <c r="T31" s="17"/>
    </row>
    <row r="32" spans="1:23" hidden="1">
      <c r="A32">
        <v>117</v>
      </c>
      <c r="B32" t="s">
        <v>261</v>
      </c>
      <c r="C32">
        <v>2024</v>
      </c>
      <c r="D32" s="2">
        <v>45453</v>
      </c>
      <c r="E32" t="s">
        <v>1073</v>
      </c>
      <c r="F32" t="s">
        <v>1074</v>
      </c>
      <c r="G32" t="s">
        <v>1075</v>
      </c>
      <c r="H32" t="s">
        <v>967</v>
      </c>
      <c r="I32" t="s">
        <v>48</v>
      </c>
      <c r="J32" t="s">
        <v>968</v>
      </c>
      <c r="M32" t="s">
        <v>1076</v>
      </c>
      <c r="N32" s="64">
        <v>888110631794</v>
      </c>
      <c r="R32" t="s">
        <v>970</v>
      </c>
      <c r="T32" s="17"/>
      <c r="W32" s="46" t="s">
        <v>971</v>
      </c>
    </row>
    <row r="33" spans="1:23" hidden="1">
      <c r="A33">
        <v>128</v>
      </c>
      <c r="B33" t="s">
        <v>261</v>
      </c>
      <c r="C33">
        <v>2024</v>
      </c>
      <c r="D33" s="2">
        <v>45457</v>
      </c>
      <c r="E33" t="s">
        <v>1077</v>
      </c>
      <c r="H33" t="s">
        <v>967</v>
      </c>
      <c r="I33" t="s">
        <v>48</v>
      </c>
      <c r="J33" t="s">
        <v>968</v>
      </c>
      <c r="M33" t="s">
        <v>1078</v>
      </c>
      <c r="T33" s="17"/>
    </row>
    <row r="34" spans="1:23" hidden="1">
      <c r="A34">
        <v>144</v>
      </c>
      <c r="B34" t="s">
        <v>274</v>
      </c>
      <c r="C34">
        <v>2024</v>
      </c>
      <c r="D34" s="2">
        <v>45474</v>
      </c>
      <c r="E34" t="s">
        <v>1079</v>
      </c>
      <c r="F34" t="s">
        <v>1080</v>
      </c>
      <c r="G34" t="s">
        <v>1081</v>
      </c>
      <c r="H34" t="s">
        <v>967</v>
      </c>
      <c r="I34" t="s">
        <v>48</v>
      </c>
      <c r="J34" t="s">
        <v>968</v>
      </c>
      <c r="M34" s="44" t="s">
        <v>1082</v>
      </c>
      <c r="T34" s="17"/>
      <c r="W34" s="46" t="s">
        <v>971</v>
      </c>
    </row>
    <row r="35" spans="1:23" hidden="1">
      <c r="A35">
        <v>149</v>
      </c>
      <c r="B35" t="s">
        <v>274</v>
      </c>
      <c r="C35">
        <v>2024</v>
      </c>
      <c r="D35" s="2">
        <v>45482</v>
      </c>
      <c r="E35" t="s">
        <v>1083</v>
      </c>
      <c r="F35" t="s">
        <v>276</v>
      </c>
      <c r="G35" t="s">
        <v>1084</v>
      </c>
      <c r="H35" t="s">
        <v>967</v>
      </c>
      <c r="I35" t="s">
        <v>48</v>
      </c>
      <c r="J35" t="s">
        <v>968</v>
      </c>
      <c r="M35" t="s">
        <v>1085</v>
      </c>
      <c r="N35" s="64">
        <v>888100956954</v>
      </c>
      <c r="R35" t="s">
        <v>970</v>
      </c>
      <c r="T35" s="17"/>
      <c r="W35" s="46" t="s">
        <v>971</v>
      </c>
    </row>
    <row r="36" spans="1:23" hidden="1">
      <c r="A36">
        <v>152</v>
      </c>
      <c r="B36" t="s">
        <v>274</v>
      </c>
      <c r="C36">
        <v>2024</v>
      </c>
      <c r="D36" s="2">
        <v>45488</v>
      </c>
      <c r="E36" t="s">
        <v>1086</v>
      </c>
      <c r="F36" t="s">
        <v>278</v>
      </c>
      <c r="G36" t="s">
        <v>1087</v>
      </c>
      <c r="H36" t="s">
        <v>967</v>
      </c>
      <c r="I36" t="s">
        <v>48</v>
      </c>
      <c r="J36" t="s">
        <v>968</v>
      </c>
      <c r="M36" t="s">
        <v>1088</v>
      </c>
      <c r="N36" s="64">
        <v>888151721386</v>
      </c>
      <c r="R36" t="s">
        <v>970</v>
      </c>
      <c r="T36" s="17"/>
      <c r="W36" s="46" t="s">
        <v>971</v>
      </c>
    </row>
    <row r="37" spans="1:23" hidden="1">
      <c r="A37">
        <v>166</v>
      </c>
      <c r="B37" t="s">
        <v>274</v>
      </c>
      <c r="C37">
        <v>2024</v>
      </c>
      <c r="D37" s="34" t="s">
        <v>1089</v>
      </c>
      <c r="E37" t="s">
        <v>1090</v>
      </c>
      <c r="F37" t="s">
        <v>291</v>
      </c>
      <c r="G37" t="s">
        <v>1091</v>
      </c>
      <c r="H37" t="s">
        <v>967</v>
      </c>
      <c r="I37" t="s">
        <v>48</v>
      </c>
      <c r="J37" t="s">
        <v>968</v>
      </c>
      <c r="M37" t="s">
        <v>1092</v>
      </c>
      <c r="T37" s="17"/>
    </row>
    <row r="38" spans="1:23" hidden="1">
      <c r="A38">
        <v>168</v>
      </c>
      <c r="B38" t="s">
        <v>274</v>
      </c>
      <c r="C38">
        <v>2024</v>
      </c>
      <c r="D38" s="34" t="s">
        <v>1093</v>
      </c>
      <c r="E38" s="44" t="s">
        <v>1094</v>
      </c>
      <c r="F38" t="s">
        <v>285</v>
      </c>
      <c r="G38" t="s">
        <v>1095</v>
      </c>
      <c r="H38" t="s">
        <v>967</v>
      </c>
      <c r="I38" t="s">
        <v>48</v>
      </c>
      <c r="J38" t="s">
        <v>968</v>
      </c>
      <c r="M38" s="44" t="s">
        <v>1096</v>
      </c>
      <c r="T38" s="17"/>
    </row>
    <row r="39" spans="1:23" hidden="1">
      <c r="A39">
        <v>169</v>
      </c>
      <c r="B39" t="s">
        <v>274</v>
      </c>
      <c r="C39">
        <v>2024</v>
      </c>
      <c r="D39" s="34" t="s">
        <v>1093</v>
      </c>
      <c r="E39" t="s">
        <v>1097</v>
      </c>
      <c r="F39" t="s">
        <v>299</v>
      </c>
      <c r="G39" t="s">
        <v>1098</v>
      </c>
      <c r="H39" t="s">
        <v>967</v>
      </c>
      <c r="I39" t="s">
        <v>48</v>
      </c>
      <c r="J39" t="s">
        <v>968</v>
      </c>
      <c r="M39" t="s">
        <v>1099</v>
      </c>
      <c r="T39" s="17"/>
    </row>
    <row r="40" spans="1:23" hidden="1">
      <c r="A40">
        <v>173</v>
      </c>
      <c r="B40" t="s">
        <v>303</v>
      </c>
      <c r="C40">
        <v>2024</v>
      </c>
      <c r="D40" s="2">
        <v>45299</v>
      </c>
      <c r="E40" t="s">
        <v>1100</v>
      </c>
      <c r="F40" t="s">
        <v>1101</v>
      </c>
      <c r="G40" t="s">
        <v>1102</v>
      </c>
      <c r="H40" t="s">
        <v>967</v>
      </c>
      <c r="I40" t="s">
        <v>973</v>
      </c>
      <c r="J40" t="s">
        <v>968</v>
      </c>
      <c r="T40" s="17"/>
    </row>
    <row r="41" spans="1:23" ht="30.75" hidden="1">
      <c r="A41">
        <v>176</v>
      </c>
      <c r="B41" t="s">
        <v>303</v>
      </c>
      <c r="C41">
        <v>2024</v>
      </c>
      <c r="D41" s="2">
        <v>45451</v>
      </c>
      <c r="E41" s="44" t="s">
        <v>1103</v>
      </c>
      <c r="F41" t="s">
        <v>305</v>
      </c>
      <c r="G41" t="s">
        <v>1104</v>
      </c>
      <c r="H41" t="s">
        <v>967</v>
      </c>
      <c r="I41" t="s">
        <v>973</v>
      </c>
      <c r="J41" t="s">
        <v>968</v>
      </c>
      <c r="M41" t="s">
        <v>1105</v>
      </c>
      <c r="N41" s="64">
        <v>2022273984</v>
      </c>
      <c r="O41">
        <v>2022274007</v>
      </c>
      <c r="R41" t="s">
        <v>970</v>
      </c>
      <c r="T41" s="17"/>
      <c r="W41" s="46" t="s">
        <v>971</v>
      </c>
    </row>
    <row r="42" spans="1:23" hidden="1">
      <c r="A42">
        <v>180</v>
      </c>
      <c r="B42" t="s">
        <v>303</v>
      </c>
      <c r="C42">
        <v>2024</v>
      </c>
      <c r="D42" s="2" t="s">
        <v>1106</v>
      </c>
      <c r="E42" t="s">
        <v>1107</v>
      </c>
      <c r="F42" t="s">
        <v>245</v>
      </c>
      <c r="G42" t="s">
        <v>1108</v>
      </c>
      <c r="H42" t="s">
        <v>967</v>
      </c>
      <c r="I42" t="s">
        <v>973</v>
      </c>
      <c r="J42" t="s">
        <v>968</v>
      </c>
      <c r="M42" t="s">
        <v>1109</v>
      </c>
      <c r="T42" s="17"/>
    </row>
    <row r="43" spans="1:23" hidden="1">
      <c r="A43">
        <v>182</v>
      </c>
      <c r="B43" t="s">
        <v>303</v>
      </c>
      <c r="C43">
        <v>2024</v>
      </c>
      <c r="D43" s="2" t="s">
        <v>1110</v>
      </c>
      <c r="E43" t="s">
        <v>1111</v>
      </c>
      <c r="F43" t="s">
        <v>309</v>
      </c>
      <c r="G43" t="s">
        <v>1112</v>
      </c>
      <c r="H43" t="s">
        <v>967</v>
      </c>
      <c r="I43" t="s">
        <v>973</v>
      </c>
      <c r="J43" t="s">
        <v>968</v>
      </c>
      <c r="T43" s="17"/>
    </row>
    <row r="44" spans="1:23" hidden="1">
      <c r="A44">
        <v>183</v>
      </c>
      <c r="B44" t="s">
        <v>303</v>
      </c>
      <c r="C44">
        <v>2024</v>
      </c>
      <c r="D44" s="2" t="s">
        <v>1113</v>
      </c>
      <c r="E44" t="s">
        <v>1114</v>
      </c>
      <c r="F44" t="s">
        <v>85</v>
      </c>
      <c r="G44" t="s">
        <v>1115</v>
      </c>
      <c r="H44" t="s">
        <v>967</v>
      </c>
      <c r="I44" t="s">
        <v>973</v>
      </c>
      <c r="J44" t="s">
        <v>968</v>
      </c>
      <c r="T44" s="17"/>
    </row>
    <row r="45" spans="1:23" hidden="1">
      <c r="A45">
        <v>184</v>
      </c>
      <c r="B45" t="s">
        <v>303</v>
      </c>
      <c r="C45">
        <v>2024</v>
      </c>
      <c r="D45" t="s">
        <v>1116</v>
      </c>
      <c r="E45" t="s">
        <v>1117</v>
      </c>
      <c r="F45" t="s">
        <v>311</v>
      </c>
      <c r="G45" t="s">
        <v>1118</v>
      </c>
      <c r="H45" t="s">
        <v>967</v>
      </c>
      <c r="I45" t="s">
        <v>973</v>
      </c>
      <c r="J45" t="s">
        <v>1119</v>
      </c>
      <c r="T45" s="17"/>
    </row>
    <row r="46" spans="1:23" hidden="1">
      <c r="A46">
        <v>187</v>
      </c>
      <c r="B46" t="s">
        <v>303</v>
      </c>
      <c r="C46">
        <v>2024</v>
      </c>
      <c r="D46" s="2" t="s">
        <v>1120</v>
      </c>
      <c r="E46" t="s">
        <v>1121</v>
      </c>
      <c r="F46" t="s">
        <v>98</v>
      </c>
      <c r="G46" t="s">
        <v>1122</v>
      </c>
      <c r="H46" t="s">
        <v>967</v>
      </c>
      <c r="I46" t="s">
        <v>973</v>
      </c>
      <c r="J46" t="s">
        <v>968</v>
      </c>
      <c r="M46" t="s">
        <v>1123</v>
      </c>
      <c r="T46" s="17"/>
    </row>
    <row r="47" spans="1:23" hidden="1">
      <c r="A47">
        <v>188</v>
      </c>
      <c r="B47" t="s">
        <v>303</v>
      </c>
      <c r="C47">
        <v>2024</v>
      </c>
      <c r="D47" s="2" t="s">
        <v>1124</v>
      </c>
      <c r="E47" t="s">
        <v>1125</v>
      </c>
      <c r="F47" t="s">
        <v>325</v>
      </c>
      <c r="G47" t="s">
        <v>1126</v>
      </c>
      <c r="H47" t="s">
        <v>967</v>
      </c>
      <c r="I47" t="s">
        <v>973</v>
      </c>
      <c r="J47" t="s">
        <v>968</v>
      </c>
      <c r="M47" t="s">
        <v>1127</v>
      </c>
      <c r="T47" s="17"/>
    </row>
    <row r="48" spans="1:23" hidden="1">
      <c r="A48">
        <v>192</v>
      </c>
      <c r="B48" t="s">
        <v>303</v>
      </c>
      <c r="C48">
        <v>2024</v>
      </c>
      <c r="D48" t="s">
        <v>1124</v>
      </c>
      <c r="E48" t="s">
        <v>1128</v>
      </c>
      <c r="F48" t="s">
        <v>328</v>
      </c>
      <c r="G48" t="s">
        <v>1129</v>
      </c>
      <c r="H48" t="s">
        <v>967</v>
      </c>
      <c r="I48" t="s">
        <v>48</v>
      </c>
      <c r="J48" t="s">
        <v>968</v>
      </c>
      <c r="M48" t="s">
        <v>1130</v>
      </c>
      <c r="N48" s="64">
        <v>888281347714</v>
      </c>
      <c r="R48" t="s">
        <v>970</v>
      </c>
      <c r="T48" s="17"/>
      <c r="W48" s="46" t="s">
        <v>971</v>
      </c>
    </row>
    <row r="49" spans="1:23" hidden="1">
      <c r="A49">
        <v>193</v>
      </c>
      <c r="B49" t="s">
        <v>303</v>
      </c>
      <c r="C49">
        <v>2024</v>
      </c>
      <c r="D49" t="s">
        <v>1131</v>
      </c>
      <c r="E49" t="s">
        <v>1132</v>
      </c>
      <c r="F49" t="s">
        <v>1133</v>
      </c>
      <c r="G49" t="s">
        <v>1134</v>
      </c>
      <c r="H49" t="s">
        <v>1135</v>
      </c>
      <c r="I49" t="s">
        <v>973</v>
      </c>
      <c r="J49" t="s">
        <v>968</v>
      </c>
      <c r="M49" t="s">
        <v>1136</v>
      </c>
      <c r="N49" s="64">
        <v>1714942109</v>
      </c>
      <c r="T49" s="17"/>
      <c r="V49" s="2">
        <v>45547</v>
      </c>
      <c r="W49" s="46" t="s">
        <v>971</v>
      </c>
    </row>
    <row r="50" spans="1:23" hidden="1">
      <c r="A50">
        <v>201</v>
      </c>
      <c r="B50" t="s">
        <v>338</v>
      </c>
      <c r="C50">
        <v>2024</v>
      </c>
      <c r="D50" s="2">
        <v>45574</v>
      </c>
      <c r="E50" t="s">
        <v>1137</v>
      </c>
      <c r="F50" t="s">
        <v>340</v>
      </c>
      <c r="G50" t="s">
        <v>1138</v>
      </c>
      <c r="H50" t="s">
        <v>967</v>
      </c>
      <c r="I50" t="s">
        <v>48</v>
      </c>
      <c r="J50" t="s">
        <v>1139</v>
      </c>
      <c r="M50" t="s">
        <v>1140</v>
      </c>
      <c r="T50" s="17"/>
    </row>
    <row r="51" spans="1:23" hidden="1">
      <c r="A51">
        <v>202</v>
      </c>
      <c r="B51" t="s">
        <v>338</v>
      </c>
      <c r="C51">
        <v>2024</v>
      </c>
      <c r="D51" s="2">
        <v>45574</v>
      </c>
      <c r="E51" t="s">
        <v>1141</v>
      </c>
      <c r="F51" t="s">
        <v>340</v>
      </c>
      <c r="G51" t="s">
        <v>1138</v>
      </c>
      <c r="H51" t="s">
        <v>967</v>
      </c>
      <c r="I51" t="s">
        <v>973</v>
      </c>
      <c r="J51" t="s">
        <v>1139</v>
      </c>
      <c r="M51" t="s">
        <v>1142</v>
      </c>
      <c r="T51" s="17"/>
    </row>
    <row r="52" spans="1:23" hidden="1">
      <c r="A52">
        <v>206</v>
      </c>
      <c r="B52" t="s">
        <v>338</v>
      </c>
      <c r="C52">
        <v>2024</v>
      </c>
      <c r="D52" t="s">
        <v>1143</v>
      </c>
      <c r="E52" t="s">
        <v>1144</v>
      </c>
      <c r="F52" t="s">
        <v>311</v>
      </c>
      <c r="G52" t="s">
        <v>1145</v>
      </c>
      <c r="H52" t="s">
        <v>967</v>
      </c>
      <c r="I52" t="s">
        <v>973</v>
      </c>
      <c r="J52" t="s">
        <v>1139</v>
      </c>
      <c r="T52" s="17"/>
    </row>
    <row r="53" spans="1:23" hidden="1">
      <c r="A53">
        <v>207</v>
      </c>
      <c r="B53" t="s">
        <v>338</v>
      </c>
      <c r="C53">
        <v>2024</v>
      </c>
      <c r="D53" t="s">
        <v>1146</v>
      </c>
      <c r="E53" t="s">
        <v>1147</v>
      </c>
      <c r="F53" t="s">
        <v>1148</v>
      </c>
      <c r="G53" t="s">
        <v>1149</v>
      </c>
      <c r="H53" t="s">
        <v>967</v>
      </c>
      <c r="I53" t="s">
        <v>48</v>
      </c>
      <c r="J53" t="s">
        <v>1139</v>
      </c>
      <c r="T53" s="17"/>
    </row>
    <row r="54" spans="1:23" hidden="1">
      <c r="A54">
        <v>208</v>
      </c>
      <c r="B54" t="s">
        <v>338</v>
      </c>
      <c r="C54">
        <v>2024</v>
      </c>
      <c r="D54" t="s">
        <v>1150</v>
      </c>
      <c r="E54" t="s">
        <v>1151</v>
      </c>
      <c r="F54" t="s">
        <v>351</v>
      </c>
      <c r="G54" t="s">
        <v>1152</v>
      </c>
      <c r="H54" t="s">
        <v>967</v>
      </c>
      <c r="I54" t="s">
        <v>973</v>
      </c>
      <c r="J54" t="s">
        <v>1139</v>
      </c>
      <c r="M54" t="s">
        <v>1153</v>
      </c>
      <c r="N54" s="64">
        <v>2053100300</v>
      </c>
      <c r="P54" t="s">
        <v>1154</v>
      </c>
      <c r="T54" s="17"/>
    </row>
    <row r="55" spans="1:23" hidden="1">
      <c r="A55">
        <v>211</v>
      </c>
      <c r="B55" t="s">
        <v>338</v>
      </c>
      <c r="C55">
        <v>2024</v>
      </c>
      <c r="D55" t="s">
        <v>1155</v>
      </c>
      <c r="E55" t="s">
        <v>1156</v>
      </c>
      <c r="F55" t="s">
        <v>353</v>
      </c>
      <c r="G55" t="s">
        <v>1157</v>
      </c>
      <c r="H55" t="s">
        <v>967</v>
      </c>
      <c r="I55" t="s">
        <v>48</v>
      </c>
      <c r="J55" t="s">
        <v>1139</v>
      </c>
      <c r="M55" t="s">
        <v>1158</v>
      </c>
      <c r="T55" s="17"/>
    </row>
    <row r="56" spans="1:23" hidden="1">
      <c r="A56">
        <v>212</v>
      </c>
      <c r="B56" t="s">
        <v>338</v>
      </c>
      <c r="C56">
        <v>2024</v>
      </c>
      <c r="D56" t="s">
        <v>1155</v>
      </c>
      <c r="E56" t="s">
        <v>1159</v>
      </c>
      <c r="F56" t="s">
        <v>353</v>
      </c>
      <c r="G56" t="s">
        <v>1160</v>
      </c>
      <c r="H56" t="s">
        <v>967</v>
      </c>
      <c r="I56" t="s">
        <v>973</v>
      </c>
      <c r="J56" t="s">
        <v>1139</v>
      </c>
      <c r="N56" s="64">
        <v>1713333767</v>
      </c>
      <c r="O56">
        <v>1712918666</v>
      </c>
      <c r="T56" s="17"/>
    </row>
    <row r="57" spans="1:23" hidden="1">
      <c r="A57">
        <v>215</v>
      </c>
      <c r="B57" t="s">
        <v>358</v>
      </c>
      <c r="C57">
        <v>2024</v>
      </c>
      <c r="D57" s="2">
        <v>45332</v>
      </c>
      <c r="E57" t="s">
        <v>1161</v>
      </c>
      <c r="F57" t="s">
        <v>357</v>
      </c>
      <c r="G57" t="s">
        <v>1162</v>
      </c>
      <c r="H57" t="s">
        <v>967</v>
      </c>
      <c r="I57" t="s">
        <v>48</v>
      </c>
      <c r="R57" t="s">
        <v>970</v>
      </c>
      <c r="T57" s="17">
        <v>2500000</v>
      </c>
    </row>
    <row r="58" spans="1:23" hidden="1">
      <c r="A58">
        <v>218</v>
      </c>
      <c r="B58" t="s">
        <v>358</v>
      </c>
      <c r="C58">
        <v>2024</v>
      </c>
      <c r="D58" s="2">
        <v>45514</v>
      </c>
      <c r="E58" t="s">
        <v>1163</v>
      </c>
      <c r="F58" t="s">
        <v>366</v>
      </c>
      <c r="G58" t="s">
        <v>1164</v>
      </c>
      <c r="H58" t="s">
        <v>967</v>
      </c>
      <c r="I58" t="s">
        <v>48</v>
      </c>
      <c r="J58" t="s">
        <v>968</v>
      </c>
      <c r="M58" s="43" t="s">
        <v>1165</v>
      </c>
      <c r="N58" s="64">
        <v>888101654925</v>
      </c>
      <c r="R58" t="s">
        <v>970</v>
      </c>
      <c r="T58" s="17">
        <v>580000</v>
      </c>
      <c r="W58" s="46" t="s">
        <v>971</v>
      </c>
    </row>
    <row r="59" spans="1:23" hidden="1">
      <c r="A59">
        <v>221</v>
      </c>
      <c r="B59" t="s">
        <v>358</v>
      </c>
      <c r="C59">
        <v>2024</v>
      </c>
      <c r="D59" s="2">
        <v>45575</v>
      </c>
      <c r="E59" t="s">
        <v>1166</v>
      </c>
      <c r="F59" t="s">
        <v>363</v>
      </c>
      <c r="G59" t="s">
        <v>1167</v>
      </c>
      <c r="H59" t="s">
        <v>967</v>
      </c>
      <c r="I59" t="s">
        <v>48</v>
      </c>
      <c r="R59" t="s">
        <v>970</v>
      </c>
      <c r="T59" s="17">
        <v>580000</v>
      </c>
    </row>
    <row r="60" spans="1:23" hidden="1">
      <c r="A60">
        <v>224</v>
      </c>
      <c r="B60" t="s">
        <v>358</v>
      </c>
      <c r="C60">
        <v>2024</v>
      </c>
      <c r="D60" t="s">
        <v>1168</v>
      </c>
      <c r="E60" t="s">
        <v>1169</v>
      </c>
      <c r="H60" t="s">
        <v>967</v>
      </c>
      <c r="I60" t="s">
        <v>48</v>
      </c>
      <c r="M60" s="43" t="s">
        <v>1170</v>
      </c>
      <c r="R60" t="s">
        <v>1171</v>
      </c>
      <c r="T60" s="17">
        <v>2500000</v>
      </c>
    </row>
    <row r="61" spans="1:23" hidden="1">
      <c r="A61">
        <v>225</v>
      </c>
      <c r="B61" t="s">
        <v>358</v>
      </c>
      <c r="C61">
        <v>2024</v>
      </c>
      <c r="D61" t="s">
        <v>1168</v>
      </c>
      <c r="E61" t="s">
        <v>1172</v>
      </c>
      <c r="F61" t="s">
        <v>372</v>
      </c>
      <c r="G61" t="s">
        <v>1173</v>
      </c>
      <c r="H61" t="s">
        <v>967</v>
      </c>
      <c r="I61" t="s">
        <v>48</v>
      </c>
      <c r="M61" s="43" t="s">
        <v>1170</v>
      </c>
      <c r="R61" t="s">
        <v>1171</v>
      </c>
      <c r="T61" s="17">
        <v>580000</v>
      </c>
    </row>
    <row r="62" spans="1:23" hidden="1">
      <c r="A62">
        <v>231</v>
      </c>
      <c r="B62" t="s">
        <v>358</v>
      </c>
      <c r="C62">
        <v>2024</v>
      </c>
      <c r="D62" t="s">
        <v>1174</v>
      </c>
      <c r="E62" t="s">
        <v>1175</v>
      </c>
      <c r="F62" t="s">
        <v>370</v>
      </c>
      <c r="G62" t="s">
        <v>1176</v>
      </c>
      <c r="H62" t="s">
        <v>967</v>
      </c>
      <c r="I62" t="s">
        <v>48</v>
      </c>
      <c r="M62" t="s">
        <v>1177</v>
      </c>
      <c r="N62" s="64">
        <v>888311004697</v>
      </c>
      <c r="R62" t="s">
        <v>970</v>
      </c>
      <c r="T62" s="17">
        <v>2500000</v>
      </c>
      <c r="W62" s="46" t="s">
        <v>971</v>
      </c>
    </row>
    <row r="63" spans="1:23" hidden="1">
      <c r="B63" t="s">
        <v>358</v>
      </c>
      <c r="C63">
        <v>2024</v>
      </c>
      <c r="D63" t="s">
        <v>1178</v>
      </c>
      <c r="E63" t="s">
        <v>1179</v>
      </c>
      <c r="H63" t="s">
        <v>1180</v>
      </c>
      <c r="I63" t="s">
        <v>48</v>
      </c>
      <c r="J63" t="s">
        <v>968</v>
      </c>
      <c r="M63" t="s">
        <v>1181</v>
      </c>
      <c r="N63" s="64">
        <v>888242213601</v>
      </c>
      <c r="R63" t="s">
        <v>970</v>
      </c>
      <c r="T63" s="17"/>
      <c r="W63" s="46" t="s">
        <v>971</v>
      </c>
    </row>
    <row r="64" spans="1:23" hidden="1">
      <c r="A64">
        <v>234</v>
      </c>
      <c r="B64" t="s">
        <v>358</v>
      </c>
      <c r="C64">
        <v>2024</v>
      </c>
      <c r="D64" t="s">
        <v>1182</v>
      </c>
      <c r="E64" t="s">
        <v>1183</v>
      </c>
      <c r="H64" t="s">
        <v>967</v>
      </c>
      <c r="I64" t="s">
        <v>973</v>
      </c>
      <c r="J64" t="s">
        <v>968</v>
      </c>
      <c r="M64" t="s">
        <v>1184</v>
      </c>
      <c r="R64" t="s">
        <v>970</v>
      </c>
      <c r="T64" s="17">
        <v>449000</v>
      </c>
    </row>
    <row r="65" spans="1:23" hidden="1">
      <c r="A65">
        <v>239</v>
      </c>
      <c r="B65" t="s">
        <v>384</v>
      </c>
      <c r="C65">
        <v>2024</v>
      </c>
      <c r="D65" s="2">
        <v>45423</v>
      </c>
      <c r="E65" t="s">
        <v>1185</v>
      </c>
      <c r="F65" t="s">
        <v>380</v>
      </c>
      <c r="G65" t="s">
        <v>1186</v>
      </c>
      <c r="H65" t="s">
        <v>967</v>
      </c>
      <c r="I65" t="s">
        <v>48</v>
      </c>
      <c r="J65" t="s">
        <v>968</v>
      </c>
      <c r="M65" t="s">
        <v>1187</v>
      </c>
      <c r="N65" s="64">
        <v>8882506301131940</v>
      </c>
      <c r="R65" t="s">
        <v>970</v>
      </c>
      <c r="T65" s="17">
        <v>3078000</v>
      </c>
      <c r="W65" s="46" t="s">
        <v>971</v>
      </c>
    </row>
    <row r="66" spans="1:23" hidden="1">
      <c r="A66">
        <v>241</v>
      </c>
      <c r="B66" t="s">
        <v>384</v>
      </c>
      <c r="C66">
        <v>2024</v>
      </c>
      <c r="D66" s="2">
        <v>45515</v>
      </c>
      <c r="E66" t="s">
        <v>1188</v>
      </c>
      <c r="F66" t="s">
        <v>1189</v>
      </c>
      <c r="G66" t="s">
        <v>1190</v>
      </c>
      <c r="H66" t="s">
        <v>967</v>
      </c>
      <c r="I66" t="s">
        <v>48</v>
      </c>
      <c r="J66" t="s">
        <v>968</v>
      </c>
      <c r="M66" t="s">
        <v>1191</v>
      </c>
      <c r="N66" s="64">
        <v>888121546645</v>
      </c>
      <c r="R66" t="s">
        <v>970</v>
      </c>
      <c r="T66" s="17">
        <v>2500000</v>
      </c>
      <c r="W66" s="46" t="s">
        <v>971</v>
      </c>
    </row>
    <row r="67" spans="1:23" hidden="1">
      <c r="A67">
        <v>249</v>
      </c>
      <c r="B67" t="s">
        <v>384</v>
      </c>
      <c r="C67">
        <v>2024</v>
      </c>
      <c r="D67" t="s">
        <v>1192</v>
      </c>
      <c r="E67" t="s">
        <v>1193</v>
      </c>
      <c r="F67" t="s">
        <v>392</v>
      </c>
      <c r="G67" t="s">
        <v>1194</v>
      </c>
      <c r="H67" t="s">
        <v>967</v>
      </c>
      <c r="I67" t="s">
        <v>48</v>
      </c>
      <c r="J67" t="s">
        <v>968</v>
      </c>
      <c r="M67" s="45" t="s">
        <v>1195</v>
      </c>
      <c r="N67" s="64">
        <v>888251449006</v>
      </c>
      <c r="R67" t="s">
        <v>970</v>
      </c>
      <c r="T67" s="17">
        <v>2500000</v>
      </c>
      <c r="W67" s="46" t="s">
        <v>971</v>
      </c>
    </row>
    <row r="68" spans="1:23" hidden="1">
      <c r="A68">
        <v>253</v>
      </c>
      <c r="B68" t="s">
        <v>408</v>
      </c>
      <c r="C68">
        <v>2024</v>
      </c>
      <c r="D68" s="2">
        <v>45334</v>
      </c>
      <c r="E68" t="s">
        <v>1196</v>
      </c>
      <c r="F68" t="s">
        <v>389</v>
      </c>
      <c r="G68" s="12" t="s">
        <v>1197</v>
      </c>
      <c r="H68" t="s">
        <v>967</v>
      </c>
      <c r="I68" t="s">
        <v>48</v>
      </c>
      <c r="J68" t="s">
        <v>968</v>
      </c>
      <c r="M68" t="s">
        <v>1198</v>
      </c>
      <c r="N68" s="64">
        <v>888091924957</v>
      </c>
      <c r="R68" t="s">
        <v>970</v>
      </c>
      <c r="W68" s="46" t="s">
        <v>971</v>
      </c>
    </row>
    <row r="69" spans="1:23" hidden="1">
      <c r="A69">
        <v>258</v>
      </c>
      <c r="B69" t="s">
        <v>408</v>
      </c>
      <c r="C69">
        <v>2024</v>
      </c>
      <c r="D69" s="2">
        <v>45455</v>
      </c>
      <c r="E69" s="12" t="s">
        <v>1199</v>
      </c>
      <c r="F69" s="12" t="s">
        <v>415</v>
      </c>
      <c r="G69" s="12" t="s">
        <v>1200</v>
      </c>
      <c r="H69" t="s">
        <v>967</v>
      </c>
      <c r="I69" t="s">
        <v>48</v>
      </c>
      <c r="J69" t="s">
        <v>968</v>
      </c>
      <c r="M69" s="43" t="s">
        <v>1201</v>
      </c>
      <c r="R69" t="s">
        <v>970</v>
      </c>
      <c r="T69" s="41" t="s">
        <v>1202</v>
      </c>
      <c r="V69" t="s">
        <v>1203</v>
      </c>
      <c r="W69" s="46" t="s">
        <v>971</v>
      </c>
    </row>
    <row r="70" spans="1:23" hidden="1">
      <c r="A70">
        <v>260</v>
      </c>
      <c r="B70" t="s">
        <v>408</v>
      </c>
      <c r="C70">
        <v>2024</v>
      </c>
      <c r="D70" s="2">
        <v>45547</v>
      </c>
      <c r="E70" s="12" t="s">
        <v>1204</v>
      </c>
      <c r="F70" s="42" t="s">
        <v>320</v>
      </c>
      <c r="G70" s="12" t="s">
        <v>1205</v>
      </c>
      <c r="H70" t="s">
        <v>967</v>
      </c>
      <c r="I70" t="s">
        <v>48</v>
      </c>
      <c r="J70" t="s">
        <v>968</v>
      </c>
      <c r="M70" s="43" t="s">
        <v>1206</v>
      </c>
      <c r="N70" s="64">
        <v>888101519229</v>
      </c>
      <c r="R70" t="s">
        <v>970</v>
      </c>
      <c r="T70" s="40">
        <v>1160000</v>
      </c>
      <c r="W70" s="46" t="s">
        <v>971</v>
      </c>
    </row>
    <row r="71" spans="1:23" hidden="1">
      <c r="A71">
        <v>268</v>
      </c>
      <c r="B71" t="s">
        <v>408</v>
      </c>
      <c r="C71">
        <v>2024</v>
      </c>
      <c r="D71" s="2" t="s">
        <v>1207</v>
      </c>
      <c r="E71" s="12"/>
      <c r="F71" s="12" t="s">
        <v>1208</v>
      </c>
      <c r="G71" s="12" t="s">
        <v>1209</v>
      </c>
      <c r="H71" t="s">
        <v>967</v>
      </c>
      <c r="I71" t="s">
        <v>48</v>
      </c>
      <c r="J71" t="s">
        <v>968</v>
      </c>
      <c r="L71">
        <f ca="1">K71-TODAY()</f>
        <v>-46258</v>
      </c>
      <c r="T71" s="53">
        <v>2500000</v>
      </c>
    </row>
    <row r="72" spans="1:23" hidden="1">
      <c r="A72">
        <v>269</v>
      </c>
      <c r="B72" t="s">
        <v>408</v>
      </c>
      <c r="C72">
        <v>2024</v>
      </c>
      <c r="D72" s="2" t="s">
        <v>1207</v>
      </c>
      <c r="E72" s="12"/>
      <c r="F72" s="12" t="s">
        <v>1208</v>
      </c>
      <c r="G72" s="12" t="s">
        <v>1209</v>
      </c>
      <c r="H72" t="s">
        <v>967</v>
      </c>
      <c r="I72" t="s">
        <v>48</v>
      </c>
      <c r="J72" t="s">
        <v>968</v>
      </c>
      <c r="L72">
        <f ca="1">K72-TODAY()</f>
        <v>-46258</v>
      </c>
      <c r="T72" s="52">
        <v>580000</v>
      </c>
    </row>
    <row r="73" spans="1:23" hidden="1">
      <c r="A73">
        <v>271</v>
      </c>
      <c r="B73" t="s">
        <v>408</v>
      </c>
      <c r="C73">
        <v>2024</v>
      </c>
      <c r="D73" s="2" t="s">
        <v>1210</v>
      </c>
      <c r="E73" s="12"/>
      <c r="F73" t="s">
        <v>1211</v>
      </c>
      <c r="G73" s="55" t="s">
        <v>1212</v>
      </c>
      <c r="H73" t="s">
        <v>967</v>
      </c>
      <c r="I73" t="s">
        <v>48</v>
      </c>
      <c r="J73" t="s">
        <v>968</v>
      </c>
      <c r="L73">
        <f ca="1">K73-TODAY()</f>
        <v>-46258</v>
      </c>
      <c r="M73" t="s">
        <v>1213</v>
      </c>
      <c r="R73" t="s">
        <v>1171</v>
      </c>
      <c r="T73" s="53">
        <v>2500000</v>
      </c>
    </row>
    <row r="74" spans="1:23" hidden="1">
      <c r="A74">
        <v>137</v>
      </c>
      <c r="B74" t="s">
        <v>261</v>
      </c>
      <c r="C74">
        <v>2024</v>
      </c>
      <c r="D74" s="2">
        <v>45470</v>
      </c>
      <c r="E74" t="s">
        <v>1214</v>
      </c>
      <c r="F74" t="s">
        <v>1215</v>
      </c>
      <c r="G74" t="s">
        <v>1216</v>
      </c>
      <c r="H74" t="s">
        <v>973</v>
      </c>
      <c r="I74" t="s">
        <v>1180</v>
      </c>
      <c r="J74" t="s">
        <v>1119</v>
      </c>
      <c r="N74" s="64" t="s">
        <v>1217</v>
      </c>
      <c r="Q74" t="s">
        <v>1218</v>
      </c>
      <c r="T74" s="17"/>
    </row>
    <row r="75" spans="1:23" hidden="1">
      <c r="A75">
        <v>1</v>
      </c>
      <c r="B75" t="s">
        <v>23</v>
      </c>
      <c r="C75">
        <v>2024</v>
      </c>
      <c r="D75" s="2">
        <v>45293</v>
      </c>
      <c r="E75" t="s">
        <v>1219</v>
      </c>
      <c r="F75" t="s">
        <v>1220</v>
      </c>
      <c r="G75" t="s">
        <v>1221</v>
      </c>
      <c r="H75" t="s">
        <v>1180</v>
      </c>
      <c r="I75" t="s">
        <v>48</v>
      </c>
      <c r="J75" t="s">
        <v>968</v>
      </c>
      <c r="M75" t="s">
        <v>1222</v>
      </c>
      <c r="N75" s="64" t="s">
        <v>1223</v>
      </c>
      <c r="R75" t="s">
        <v>970</v>
      </c>
      <c r="T75" s="17">
        <v>2500000</v>
      </c>
      <c r="U75" t="s">
        <v>1224</v>
      </c>
      <c r="V75" s="2">
        <v>45292</v>
      </c>
    </row>
    <row r="76" spans="1:23" hidden="1">
      <c r="A76">
        <v>4</v>
      </c>
      <c r="B76" t="s">
        <v>23</v>
      </c>
      <c r="C76">
        <v>2024</v>
      </c>
      <c r="D76" s="2">
        <v>45296</v>
      </c>
      <c r="E76" t="s">
        <v>1225</v>
      </c>
      <c r="F76" t="s">
        <v>1226</v>
      </c>
      <c r="G76" t="s">
        <v>1227</v>
      </c>
      <c r="H76" t="s">
        <v>1180</v>
      </c>
      <c r="I76" t="s">
        <v>48</v>
      </c>
      <c r="J76" t="s">
        <v>968</v>
      </c>
      <c r="M76" t="s">
        <v>1228</v>
      </c>
      <c r="N76" s="64" t="s">
        <v>1229</v>
      </c>
      <c r="R76" t="s">
        <v>970</v>
      </c>
      <c r="T76" s="17">
        <v>2500000</v>
      </c>
      <c r="U76" t="s">
        <v>1230</v>
      </c>
      <c r="V76" s="2">
        <v>45299</v>
      </c>
    </row>
    <row r="77" spans="1:23" hidden="1">
      <c r="A77">
        <v>15</v>
      </c>
      <c r="B77" t="s">
        <v>23</v>
      </c>
      <c r="C77">
        <v>2024</v>
      </c>
      <c r="D77" s="2">
        <v>45308</v>
      </c>
      <c r="E77" t="s">
        <v>1231</v>
      </c>
      <c r="F77" t="s">
        <v>1232</v>
      </c>
      <c r="G77" t="s">
        <v>1233</v>
      </c>
      <c r="H77" t="s">
        <v>1180</v>
      </c>
      <c r="I77" t="s">
        <v>48</v>
      </c>
      <c r="J77" t="s">
        <v>968</v>
      </c>
      <c r="M77" t="s">
        <v>1234</v>
      </c>
      <c r="N77" s="64" t="s">
        <v>1235</v>
      </c>
      <c r="R77" t="s">
        <v>970</v>
      </c>
      <c r="T77" s="17">
        <v>1500000</v>
      </c>
      <c r="U77" t="s">
        <v>1236</v>
      </c>
      <c r="V77" s="2">
        <v>45314</v>
      </c>
    </row>
    <row r="78" spans="1:23" hidden="1">
      <c r="A78">
        <v>16</v>
      </c>
      <c r="B78" t="s">
        <v>23</v>
      </c>
      <c r="C78">
        <v>2024</v>
      </c>
      <c r="D78" s="2">
        <v>45308</v>
      </c>
      <c r="E78" t="s">
        <v>1237</v>
      </c>
      <c r="F78" t="s">
        <v>1232</v>
      </c>
      <c r="G78" t="s">
        <v>1233</v>
      </c>
      <c r="H78" t="s">
        <v>1180</v>
      </c>
      <c r="I78" t="s">
        <v>48</v>
      </c>
      <c r="J78" t="s">
        <v>968</v>
      </c>
      <c r="M78" t="s">
        <v>1238</v>
      </c>
      <c r="N78" s="64" t="s">
        <v>1239</v>
      </c>
      <c r="R78" t="s">
        <v>970</v>
      </c>
      <c r="T78" s="17">
        <v>1500000</v>
      </c>
      <c r="U78" t="s">
        <v>1240</v>
      </c>
      <c r="V78" s="2">
        <v>45309</v>
      </c>
    </row>
    <row r="79" spans="1:23" hidden="1">
      <c r="A79">
        <v>28</v>
      </c>
      <c r="B79" t="s">
        <v>23</v>
      </c>
      <c r="C79">
        <v>2024</v>
      </c>
      <c r="D79" s="2">
        <v>45322</v>
      </c>
      <c r="E79" t="s">
        <v>1241</v>
      </c>
      <c r="F79" t="s">
        <v>1242</v>
      </c>
      <c r="G79" t="s">
        <v>1243</v>
      </c>
      <c r="H79" t="s">
        <v>1180</v>
      </c>
      <c r="I79" t="s">
        <v>973</v>
      </c>
      <c r="J79" t="s">
        <v>968</v>
      </c>
      <c r="M79" t="s">
        <v>1244</v>
      </c>
      <c r="N79" s="64" t="s">
        <v>1245</v>
      </c>
      <c r="R79" t="s">
        <v>970</v>
      </c>
      <c r="T79" s="17">
        <v>308750</v>
      </c>
      <c r="U79" t="s">
        <v>1246</v>
      </c>
      <c r="V79" s="2">
        <v>45323</v>
      </c>
    </row>
    <row r="80" spans="1:23">
      <c r="A80">
        <v>29</v>
      </c>
      <c r="B80" t="s">
        <v>96</v>
      </c>
      <c r="C80">
        <v>2024</v>
      </c>
      <c r="D80" s="2">
        <v>45323</v>
      </c>
      <c r="E80" t="s">
        <v>1247</v>
      </c>
      <c r="F80" t="s">
        <v>1248</v>
      </c>
      <c r="G80" t="s">
        <v>1249</v>
      </c>
      <c r="H80" t="s">
        <v>1180</v>
      </c>
      <c r="I80" t="s">
        <v>973</v>
      </c>
      <c r="J80" t="s">
        <v>1119</v>
      </c>
      <c r="N80" s="64" t="s">
        <v>1250</v>
      </c>
      <c r="R80" t="s">
        <v>970</v>
      </c>
      <c r="T80" s="17"/>
    </row>
    <row r="81" spans="1:23" hidden="1">
      <c r="A81">
        <v>38</v>
      </c>
      <c r="B81" t="s">
        <v>96</v>
      </c>
      <c r="C81">
        <v>2024</v>
      </c>
      <c r="D81" s="2">
        <v>45334</v>
      </c>
      <c r="E81" t="s">
        <v>1251</v>
      </c>
      <c r="F81" t="s">
        <v>1248</v>
      </c>
      <c r="G81" t="s">
        <v>1252</v>
      </c>
      <c r="H81" t="s">
        <v>1180</v>
      </c>
      <c r="I81" t="s">
        <v>973</v>
      </c>
      <c r="N81" s="64" t="s">
        <v>1253</v>
      </c>
      <c r="R81" t="s">
        <v>970</v>
      </c>
      <c r="T81" s="17">
        <v>60000</v>
      </c>
    </row>
    <row r="82" spans="1:23" hidden="1">
      <c r="A82">
        <v>39</v>
      </c>
      <c r="B82" t="s">
        <v>96</v>
      </c>
      <c r="C82">
        <v>2024</v>
      </c>
      <c r="D82" s="2">
        <v>45337</v>
      </c>
      <c r="E82" t="s">
        <v>1254</v>
      </c>
      <c r="F82" t="s">
        <v>1255</v>
      </c>
      <c r="G82" t="s">
        <v>1256</v>
      </c>
      <c r="H82" t="s">
        <v>1180</v>
      </c>
      <c r="I82" t="s">
        <v>973</v>
      </c>
      <c r="J82" t="s">
        <v>968</v>
      </c>
      <c r="M82" t="s">
        <v>1257</v>
      </c>
      <c r="R82" t="s">
        <v>970</v>
      </c>
      <c r="T82" s="17">
        <v>10284300</v>
      </c>
    </row>
    <row r="83" spans="1:23" hidden="1">
      <c r="A83">
        <v>40</v>
      </c>
      <c r="B83" t="s">
        <v>96</v>
      </c>
      <c r="C83">
        <v>2024</v>
      </c>
      <c r="D83" s="2">
        <v>45337</v>
      </c>
      <c r="E83" t="s">
        <v>1258</v>
      </c>
      <c r="F83" t="s">
        <v>1255</v>
      </c>
      <c r="G83" t="s">
        <v>1256</v>
      </c>
      <c r="H83" t="s">
        <v>1180</v>
      </c>
      <c r="I83" t="s">
        <v>973</v>
      </c>
      <c r="J83" t="s">
        <v>968</v>
      </c>
      <c r="M83" t="s">
        <v>1259</v>
      </c>
      <c r="R83" t="s">
        <v>970</v>
      </c>
      <c r="T83" s="17">
        <v>56878770</v>
      </c>
    </row>
    <row r="84" spans="1:23" ht="106.5">
      <c r="A84">
        <v>41</v>
      </c>
      <c r="B84" t="s">
        <v>96</v>
      </c>
      <c r="C84">
        <v>2024</v>
      </c>
      <c r="D84" s="2">
        <v>45337</v>
      </c>
      <c r="E84" t="s">
        <v>1260</v>
      </c>
      <c r="G84" t="s">
        <v>1261</v>
      </c>
      <c r="H84" t="s">
        <v>1180</v>
      </c>
      <c r="I84" t="s">
        <v>973</v>
      </c>
      <c r="J84" t="s">
        <v>1119</v>
      </c>
      <c r="N84" s="72" t="s">
        <v>1262</v>
      </c>
      <c r="R84" t="s">
        <v>970</v>
      </c>
      <c r="T84" s="17">
        <v>3115000</v>
      </c>
    </row>
    <row r="85" spans="1:23" hidden="1">
      <c r="A85">
        <v>46</v>
      </c>
      <c r="B85" t="s">
        <v>96</v>
      </c>
      <c r="C85">
        <v>2024</v>
      </c>
      <c r="D85" s="2">
        <v>45350</v>
      </c>
      <c r="E85" t="s">
        <v>1263</v>
      </c>
      <c r="F85" t="s">
        <v>1264</v>
      </c>
      <c r="G85" t="s">
        <v>1265</v>
      </c>
      <c r="H85" t="s">
        <v>1180</v>
      </c>
      <c r="I85" t="s">
        <v>48</v>
      </c>
      <c r="J85" t="s">
        <v>968</v>
      </c>
      <c r="N85" s="64" t="s">
        <v>1266</v>
      </c>
      <c r="Q85" t="s">
        <v>1267</v>
      </c>
      <c r="R85" t="s">
        <v>970</v>
      </c>
      <c r="T85" s="17">
        <v>580000</v>
      </c>
      <c r="U85" t="s">
        <v>1268</v>
      </c>
      <c r="V85" s="2">
        <v>45351</v>
      </c>
    </row>
    <row r="86" spans="1:23" hidden="1">
      <c r="A86">
        <v>47</v>
      </c>
      <c r="B86" t="s">
        <v>96</v>
      </c>
      <c r="C86">
        <v>2024</v>
      </c>
      <c r="D86" s="2">
        <v>45350</v>
      </c>
      <c r="E86" t="s">
        <v>1269</v>
      </c>
      <c r="F86" t="s">
        <v>1264</v>
      </c>
      <c r="G86" t="s">
        <v>1265</v>
      </c>
      <c r="H86" t="s">
        <v>1180</v>
      </c>
      <c r="I86" t="s">
        <v>48</v>
      </c>
      <c r="J86" t="s">
        <v>968</v>
      </c>
      <c r="N86" s="64" t="s">
        <v>1270</v>
      </c>
      <c r="Q86" t="s">
        <v>1271</v>
      </c>
      <c r="R86" t="s">
        <v>970</v>
      </c>
      <c r="T86" s="17">
        <v>1500000</v>
      </c>
    </row>
    <row r="87" spans="1:23" hidden="1">
      <c r="A87">
        <v>48</v>
      </c>
      <c r="B87" t="s">
        <v>96</v>
      </c>
      <c r="C87">
        <v>2024</v>
      </c>
      <c r="D87" s="2">
        <v>45350</v>
      </c>
      <c r="E87" t="s">
        <v>1272</v>
      </c>
      <c r="F87" t="s">
        <v>1264</v>
      </c>
      <c r="G87" t="s">
        <v>1265</v>
      </c>
      <c r="H87" t="s">
        <v>1180</v>
      </c>
      <c r="I87" t="s">
        <v>48</v>
      </c>
      <c r="J87" t="s">
        <v>968</v>
      </c>
      <c r="N87" s="64" t="s">
        <v>1273</v>
      </c>
      <c r="Q87" t="s">
        <v>1271</v>
      </c>
      <c r="R87" t="s">
        <v>970</v>
      </c>
      <c r="T87" s="17">
        <v>2500000</v>
      </c>
    </row>
    <row r="88" spans="1:23" hidden="1">
      <c r="A88">
        <v>50</v>
      </c>
      <c r="B88" t="s">
        <v>144</v>
      </c>
      <c r="C88">
        <v>2024</v>
      </c>
      <c r="D88" s="2">
        <v>45352</v>
      </c>
      <c r="E88" t="s">
        <v>1274</v>
      </c>
      <c r="F88" t="s">
        <v>1275</v>
      </c>
      <c r="G88" t="s">
        <v>1276</v>
      </c>
      <c r="H88" t="s">
        <v>1180</v>
      </c>
      <c r="I88" t="s">
        <v>48</v>
      </c>
      <c r="J88" t="s">
        <v>968</v>
      </c>
      <c r="M88" t="s">
        <v>1277</v>
      </c>
      <c r="N88" s="64" t="s">
        <v>1278</v>
      </c>
      <c r="R88" t="s">
        <v>970</v>
      </c>
      <c r="T88" s="17">
        <v>3000000</v>
      </c>
    </row>
    <row r="89" spans="1:23" hidden="1">
      <c r="A89">
        <v>58</v>
      </c>
      <c r="B89" t="s">
        <v>144</v>
      </c>
      <c r="C89">
        <v>2024</v>
      </c>
      <c r="D89" s="2">
        <v>45365</v>
      </c>
      <c r="E89" t="s">
        <v>1279</v>
      </c>
      <c r="F89" t="s">
        <v>1280</v>
      </c>
      <c r="G89" t="s">
        <v>1281</v>
      </c>
      <c r="H89" t="s">
        <v>1180</v>
      </c>
      <c r="I89" t="s">
        <v>48</v>
      </c>
      <c r="J89" t="s">
        <v>968</v>
      </c>
      <c r="M89" t="s">
        <v>1282</v>
      </c>
      <c r="N89" s="64" t="s">
        <v>1283</v>
      </c>
      <c r="R89" t="s">
        <v>970</v>
      </c>
      <c r="T89" s="17">
        <v>1500000</v>
      </c>
    </row>
    <row r="90" spans="1:23" hidden="1">
      <c r="A90">
        <v>61</v>
      </c>
      <c r="B90" t="s">
        <v>144</v>
      </c>
      <c r="C90">
        <v>2024</v>
      </c>
      <c r="D90" s="2">
        <v>45371</v>
      </c>
      <c r="E90" t="s">
        <v>1284</v>
      </c>
      <c r="F90" t="s">
        <v>1285</v>
      </c>
      <c r="G90" t="s">
        <v>1286</v>
      </c>
      <c r="H90" t="s">
        <v>1180</v>
      </c>
      <c r="I90" t="s">
        <v>973</v>
      </c>
      <c r="J90" t="s">
        <v>968</v>
      </c>
      <c r="M90" s="44" t="s">
        <v>1287</v>
      </c>
      <c r="Q90" t="s">
        <v>1288</v>
      </c>
      <c r="R90" t="s">
        <v>970</v>
      </c>
      <c r="T90" s="17">
        <v>4230000</v>
      </c>
      <c r="U90" t="s">
        <v>1289</v>
      </c>
      <c r="V90" s="2">
        <v>45383</v>
      </c>
    </row>
    <row r="91" spans="1:23" hidden="1">
      <c r="B91" t="s">
        <v>144</v>
      </c>
      <c r="C91">
        <v>2024</v>
      </c>
      <c r="D91" s="2">
        <v>45371</v>
      </c>
      <c r="E91" t="s">
        <v>1284</v>
      </c>
      <c r="F91" t="s">
        <v>1285</v>
      </c>
      <c r="G91" t="s">
        <v>1286</v>
      </c>
      <c r="H91" t="s">
        <v>1180</v>
      </c>
      <c r="I91" t="s">
        <v>973</v>
      </c>
      <c r="J91" t="s">
        <v>968</v>
      </c>
      <c r="M91" s="44" t="s">
        <v>1290</v>
      </c>
      <c r="Q91" t="s">
        <v>1288</v>
      </c>
      <c r="R91" t="s">
        <v>970</v>
      </c>
      <c r="T91" s="17">
        <v>4230000</v>
      </c>
      <c r="U91" t="s">
        <v>1289</v>
      </c>
      <c r="V91" s="2">
        <v>45383</v>
      </c>
    </row>
    <row r="92" spans="1:23" hidden="1">
      <c r="B92" t="s">
        <v>144</v>
      </c>
      <c r="C92">
        <v>2024</v>
      </c>
      <c r="D92" s="2">
        <v>45371</v>
      </c>
      <c r="E92" t="s">
        <v>1284</v>
      </c>
      <c r="F92" t="s">
        <v>1285</v>
      </c>
      <c r="G92" t="s">
        <v>1286</v>
      </c>
      <c r="H92" t="s">
        <v>1180</v>
      </c>
      <c r="I92" t="s">
        <v>973</v>
      </c>
      <c r="J92" t="s">
        <v>968</v>
      </c>
      <c r="M92" s="44" t="s">
        <v>1291</v>
      </c>
      <c r="N92" s="64">
        <v>1191627431</v>
      </c>
      <c r="O92">
        <v>1252546791</v>
      </c>
      <c r="Q92" t="s">
        <v>1288</v>
      </c>
      <c r="R92" t="s">
        <v>970</v>
      </c>
      <c r="T92" s="17">
        <v>4230000</v>
      </c>
      <c r="U92" t="s">
        <v>1289</v>
      </c>
      <c r="V92" s="2">
        <v>45383</v>
      </c>
      <c r="W92" s="46" t="s">
        <v>971</v>
      </c>
    </row>
    <row r="93" spans="1:23" hidden="1">
      <c r="A93">
        <v>72</v>
      </c>
      <c r="B93" t="s">
        <v>183</v>
      </c>
      <c r="C93">
        <v>2024</v>
      </c>
      <c r="D93" s="2">
        <v>45389</v>
      </c>
      <c r="E93" t="s">
        <v>1292</v>
      </c>
      <c r="F93" t="s">
        <v>1293</v>
      </c>
      <c r="G93" t="s">
        <v>1294</v>
      </c>
      <c r="H93" t="s">
        <v>1180</v>
      </c>
      <c r="I93" t="s">
        <v>973</v>
      </c>
      <c r="J93" t="s">
        <v>968</v>
      </c>
      <c r="N93" s="64" t="s">
        <v>1295</v>
      </c>
      <c r="R93" t="s">
        <v>970</v>
      </c>
      <c r="T93" s="17">
        <v>2325000</v>
      </c>
      <c r="U93" t="s">
        <v>1296</v>
      </c>
      <c r="V93" s="2">
        <v>45389</v>
      </c>
    </row>
    <row r="94" spans="1:23" hidden="1">
      <c r="A94">
        <v>74</v>
      </c>
      <c r="B94" t="s">
        <v>183</v>
      </c>
      <c r="C94">
        <v>2024</v>
      </c>
      <c r="D94" s="2">
        <v>45399</v>
      </c>
      <c r="E94" t="s">
        <v>1292</v>
      </c>
      <c r="F94" t="s">
        <v>1293</v>
      </c>
      <c r="G94" t="s">
        <v>1294</v>
      </c>
      <c r="H94" t="s">
        <v>1180</v>
      </c>
      <c r="I94" t="s">
        <v>48</v>
      </c>
      <c r="J94" t="s">
        <v>968</v>
      </c>
      <c r="M94" t="s">
        <v>1297</v>
      </c>
      <c r="N94" s="64" t="s">
        <v>1298</v>
      </c>
      <c r="R94" t="s">
        <v>970</v>
      </c>
      <c r="T94" s="17">
        <v>2325000</v>
      </c>
      <c r="U94" t="s">
        <v>1296</v>
      </c>
      <c r="V94" s="2">
        <v>45399</v>
      </c>
    </row>
    <row r="95" spans="1:23" hidden="1">
      <c r="A95">
        <v>77</v>
      </c>
      <c r="B95" t="s">
        <v>183</v>
      </c>
      <c r="C95">
        <v>2024</v>
      </c>
      <c r="D95" s="2">
        <v>45401</v>
      </c>
      <c r="E95" t="s">
        <v>1299</v>
      </c>
      <c r="F95" t="s">
        <v>1300</v>
      </c>
      <c r="G95" t="s">
        <v>1301</v>
      </c>
      <c r="H95" t="s">
        <v>1180</v>
      </c>
      <c r="I95" t="s">
        <v>1302</v>
      </c>
      <c r="J95" t="s">
        <v>968</v>
      </c>
      <c r="M95" t="s">
        <v>1303</v>
      </c>
      <c r="N95" s="64" t="s">
        <v>1304</v>
      </c>
      <c r="R95" t="s">
        <v>970</v>
      </c>
      <c r="T95" s="17">
        <v>2300000</v>
      </c>
      <c r="U95" t="s">
        <v>1305</v>
      </c>
      <c r="V95" s="2">
        <v>45404</v>
      </c>
    </row>
    <row r="96" spans="1:23" hidden="1">
      <c r="A96">
        <v>82</v>
      </c>
      <c r="B96" t="s">
        <v>212</v>
      </c>
      <c r="C96">
        <v>2024</v>
      </c>
      <c r="D96" s="2">
        <v>45415</v>
      </c>
      <c r="E96" t="s">
        <v>1306</v>
      </c>
      <c r="F96" t="s">
        <v>1307</v>
      </c>
      <c r="G96" t="s">
        <v>1308</v>
      </c>
      <c r="H96" t="s">
        <v>1180</v>
      </c>
      <c r="I96" t="s">
        <v>48</v>
      </c>
      <c r="J96" t="s">
        <v>968</v>
      </c>
      <c r="M96" t="s">
        <v>1309</v>
      </c>
      <c r="N96" s="64" t="s">
        <v>1310</v>
      </c>
      <c r="R96" t="s">
        <v>970</v>
      </c>
      <c r="T96" s="17">
        <v>1500000</v>
      </c>
      <c r="U96" t="s">
        <v>1311</v>
      </c>
      <c r="V96" s="2">
        <v>45418</v>
      </c>
    </row>
    <row r="97" spans="1:23" hidden="1">
      <c r="A97">
        <v>83</v>
      </c>
      <c r="B97" t="s">
        <v>212</v>
      </c>
      <c r="C97">
        <v>2024</v>
      </c>
      <c r="D97" s="2">
        <v>45415</v>
      </c>
      <c r="E97" t="s">
        <v>1312</v>
      </c>
      <c r="F97" t="s">
        <v>1313</v>
      </c>
      <c r="G97" t="s">
        <v>1314</v>
      </c>
      <c r="H97" t="s">
        <v>1180</v>
      </c>
      <c r="I97" t="s">
        <v>48</v>
      </c>
      <c r="J97" t="s">
        <v>968</v>
      </c>
      <c r="M97" t="s">
        <v>1315</v>
      </c>
      <c r="N97" s="64" t="s">
        <v>1316</v>
      </c>
      <c r="Q97" t="s">
        <v>1317</v>
      </c>
      <c r="R97" t="s">
        <v>970</v>
      </c>
      <c r="T97" s="17">
        <v>6000000</v>
      </c>
      <c r="U97" t="s">
        <v>1311</v>
      </c>
      <c r="V97" s="2">
        <v>45418</v>
      </c>
    </row>
    <row r="98" spans="1:23" hidden="1">
      <c r="A98">
        <v>84</v>
      </c>
      <c r="B98" t="s">
        <v>212</v>
      </c>
      <c r="C98">
        <v>2024</v>
      </c>
      <c r="D98" s="2">
        <v>45415</v>
      </c>
      <c r="E98" t="s">
        <v>1318</v>
      </c>
      <c r="F98" t="s">
        <v>1293</v>
      </c>
      <c r="G98" t="s">
        <v>1319</v>
      </c>
      <c r="H98" t="s">
        <v>1180</v>
      </c>
      <c r="I98" t="s">
        <v>48</v>
      </c>
      <c r="J98" t="s">
        <v>968</v>
      </c>
      <c r="N98" s="64" t="s">
        <v>1320</v>
      </c>
      <c r="R98" t="s">
        <v>970</v>
      </c>
      <c r="T98" s="17">
        <v>1500000</v>
      </c>
    </row>
    <row r="99" spans="1:23" hidden="1">
      <c r="A99">
        <v>85</v>
      </c>
      <c r="B99" t="s">
        <v>212</v>
      </c>
      <c r="C99">
        <v>2024</v>
      </c>
      <c r="D99" s="2">
        <v>45418</v>
      </c>
      <c r="E99" t="s">
        <v>1321</v>
      </c>
      <c r="F99" t="s">
        <v>1322</v>
      </c>
      <c r="G99" t="s">
        <v>1323</v>
      </c>
      <c r="H99" t="s">
        <v>1180</v>
      </c>
      <c r="I99" t="s">
        <v>973</v>
      </c>
      <c r="J99" t="s">
        <v>968</v>
      </c>
      <c r="N99" s="64" t="s">
        <v>1324</v>
      </c>
      <c r="R99" t="s">
        <v>970</v>
      </c>
      <c r="T99" s="17"/>
    </row>
    <row r="100" spans="1:23" hidden="1">
      <c r="A100">
        <v>86</v>
      </c>
      <c r="B100" t="s">
        <v>212</v>
      </c>
      <c r="C100">
        <v>2024</v>
      </c>
      <c r="D100" s="2">
        <v>45418</v>
      </c>
      <c r="E100" t="s">
        <v>1325</v>
      </c>
      <c r="F100" t="s">
        <v>1326</v>
      </c>
      <c r="G100" t="s">
        <v>1327</v>
      </c>
      <c r="H100" t="s">
        <v>1180</v>
      </c>
      <c r="I100" t="s">
        <v>973</v>
      </c>
      <c r="J100" t="s">
        <v>968</v>
      </c>
      <c r="M100" t="s">
        <v>1328</v>
      </c>
      <c r="N100" s="64" t="s">
        <v>1329</v>
      </c>
      <c r="R100" t="s">
        <v>970</v>
      </c>
      <c r="T100" s="17">
        <v>2614000</v>
      </c>
      <c r="U100" t="s">
        <v>1330</v>
      </c>
      <c r="V100" s="2">
        <v>45425</v>
      </c>
    </row>
    <row r="101" spans="1:23" hidden="1">
      <c r="A101">
        <v>94</v>
      </c>
      <c r="B101" t="s">
        <v>212</v>
      </c>
      <c r="C101">
        <v>2024</v>
      </c>
      <c r="D101" s="2">
        <v>45426</v>
      </c>
      <c r="E101" t="s">
        <v>1331</v>
      </c>
      <c r="F101" t="s">
        <v>1332</v>
      </c>
      <c r="G101" t="s">
        <v>1333</v>
      </c>
      <c r="H101" t="s">
        <v>1180</v>
      </c>
      <c r="I101" t="s">
        <v>973</v>
      </c>
      <c r="J101" t="s">
        <v>968</v>
      </c>
      <c r="N101" s="64" t="s">
        <v>1334</v>
      </c>
      <c r="R101" t="s">
        <v>970</v>
      </c>
      <c r="T101" s="17">
        <v>1908000</v>
      </c>
    </row>
    <row r="102" spans="1:23" hidden="1">
      <c r="A102">
        <v>96</v>
      </c>
      <c r="B102" t="s">
        <v>212</v>
      </c>
      <c r="C102">
        <v>2024</v>
      </c>
      <c r="D102" s="2">
        <v>45428</v>
      </c>
      <c r="E102" t="s">
        <v>1335</v>
      </c>
      <c r="F102" t="s">
        <v>1336</v>
      </c>
      <c r="G102" t="s">
        <v>1337</v>
      </c>
      <c r="H102" t="s">
        <v>1180</v>
      </c>
      <c r="I102" t="s">
        <v>48</v>
      </c>
      <c r="J102" t="s">
        <v>968</v>
      </c>
      <c r="M102" t="s">
        <v>1338</v>
      </c>
      <c r="R102" t="s">
        <v>970</v>
      </c>
      <c r="T102" s="17"/>
      <c r="U102" t="s">
        <v>1339</v>
      </c>
      <c r="V102" s="2">
        <v>45428</v>
      </c>
    </row>
    <row r="103" spans="1:23" hidden="1">
      <c r="A103">
        <v>98</v>
      </c>
      <c r="B103" t="s">
        <v>212</v>
      </c>
      <c r="C103">
        <v>2024</v>
      </c>
      <c r="D103" s="2">
        <v>45428</v>
      </c>
      <c r="E103" t="s">
        <v>1340</v>
      </c>
      <c r="F103" t="s">
        <v>1341</v>
      </c>
      <c r="G103" t="s">
        <v>1342</v>
      </c>
      <c r="H103" t="s">
        <v>1180</v>
      </c>
      <c r="I103" t="s">
        <v>48</v>
      </c>
      <c r="J103" t="s">
        <v>968</v>
      </c>
      <c r="M103" t="s">
        <v>1343</v>
      </c>
      <c r="N103" s="64" t="s">
        <v>1344</v>
      </c>
      <c r="R103" t="s">
        <v>970</v>
      </c>
      <c r="T103" s="17"/>
      <c r="U103" t="s">
        <v>1345</v>
      </c>
      <c r="V103" s="2">
        <v>45428</v>
      </c>
    </row>
    <row r="104" spans="1:23" hidden="1">
      <c r="A104">
        <v>105</v>
      </c>
      <c r="B104" t="s">
        <v>212</v>
      </c>
      <c r="C104">
        <v>2024</v>
      </c>
      <c r="D104" s="2">
        <v>45439</v>
      </c>
      <c r="E104" t="s">
        <v>1346</v>
      </c>
      <c r="F104" t="s">
        <v>1347</v>
      </c>
      <c r="G104" t="s">
        <v>1348</v>
      </c>
      <c r="H104" t="s">
        <v>1180</v>
      </c>
      <c r="I104" t="s">
        <v>973</v>
      </c>
      <c r="J104" t="s">
        <v>968</v>
      </c>
      <c r="N104" s="64" t="s">
        <v>1349</v>
      </c>
      <c r="R104" t="s">
        <v>970</v>
      </c>
      <c r="T104" s="17"/>
    </row>
    <row r="105" spans="1:23" hidden="1">
      <c r="A105">
        <v>107</v>
      </c>
      <c r="B105" t="s">
        <v>212</v>
      </c>
      <c r="C105">
        <v>2024</v>
      </c>
      <c r="D105" s="2">
        <v>45439</v>
      </c>
      <c r="E105" t="s">
        <v>1350</v>
      </c>
      <c r="F105" t="s">
        <v>1351</v>
      </c>
      <c r="G105" t="s">
        <v>1352</v>
      </c>
      <c r="H105" t="s">
        <v>1180</v>
      </c>
      <c r="I105" t="s">
        <v>1353</v>
      </c>
      <c r="J105" t="s">
        <v>968</v>
      </c>
      <c r="R105" t="s">
        <v>970</v>
      </c>
      <c r="T105" s="17"/>
    </row>
    <row r="106" spans="1:23">
      <c r="A106">
        <v>108</v>
      </c>
      <c r="B106" t="s">
        <v>212</v>
      </c>
      <c r="C106">
        <v>2024</v>
      </c>
      <c r="D106" s="2">
        <v>45439</v>
      </c>
      <c r="E106" t="s">
        <v>1354</v>
      </c>
      <c r="F106" t="s">
        <v>1355</v>
      </c>
      <c r="G106" t="s">
        <v>1356</v>
      </c>
      <c r="H106" t="s">
        <v>1180</v>
      </c>
      <c r="I106" t="s">
        <v>973</v>
      </c>
      <c r="J106" t="s">
        <v>1119</v>
      </c>
      <c r="M106" t="s">
        <v>1357</v>
      </c>
      <c r="N106" s="64" t="s">
        <v>1358</v>
      </c>
      <c r="R106" t="s">
        <v>970</v>
      </c>
      <c r="T106" s="17"/>
    </row>
    <row r="107" spans="1:23" hidden="1">
      <c r="A107">
        <v>110</v>
      </c>
      <c r="B107" t="s">
        <v>212</v>
      </c>
      <c r="C107">
        <v>2024</v>
      </c>
      <c r="D107" s="2">
        <v>45440</v>
      </c>
      <c r="E107" t="s">
        <v>1359</v>
      </c>
      <c r="F107" t="s">
        <v>1360</v>
      </c>
      <c r="G107" t="s">
        <v>1361</v>
      </c>
      <c r="H107" t="s">
        <v>1180</v>
      </c>
      <c r="I107" t="s">
        <v>48</v>
      </c>
      <c r="J107" t="s">
        <v>968</v>
      </c>
      <c r="N107" s="64" t="s">
        <v>1362</v>
      </c>
      <c r="R107" t="s">
        <v>970</v>
      </c>
      <c r="T107" s="17"/>
    </row>
    <row r="108" spans="1:23" hidden="1">
      <c r="B108" t="s">
        <v>212</v>
      </c>
      <c r="C108">
        <v>2024</v>
      </c>
      <c r="D108" s="2">
        <v>45440</v>
      </c>
      <c r="E108" t="s">
        <v>1363</v>
      </c>
      <c r="H108" t="s">
        <v>1364</v>
      </c>
      <c r="I108" t="s">
        <v>48</v>
      </c>
      <c r="J108" t="s">
        <v>968</v>
      </c>
      <c r="M108" t="s">
        <v>1365</v>
      </c>
      <c r="N108" s="64" t="s">
        <v>1366</v>
      </c>
      <c r="R108" t="s">
        <v>970</v>
      </c>
      <c r="T108" s="17"/>
      <c r="W108" s="46" t="s">
        <v>971</v>
      </c>
    </row>
    <row r="109" spans="1:23">
      <c r="A109">
        <v>120</v>
      </c>
      <c r="B109" t="s">
        <v>261</v>
      </c>
      <c r="C109">
        <v>2024</v>
      </c>
      <c r="D109" s="2">
        <v>45455</v>
      </c>
      <c r="E109" t="s">
        <v>1367</v>
      </c>
      <c r="F109" t="s">
        <v>1368</v>
      </c>
      <c r="G109" t="s">
        <v>1369</v>
      </c>
      <c r="H109" t="s">
        <v>1180</v>
      </c>
      <c r="I109" t="s">
        <v>973</v>
      </c>
      <c r="J109" t="s">
        <v>1119</v>
      </c>
      <c r="N109" s="64" t="s">
        <v>1370</v>
      </c>
      <c r="T109" s="17"/>
    </row>
    <row r="110" spans="1:23" hidden="1">
      <c r="A110">
        <v>121</v>
      </c>
      <c r="B110" t="s">
        <v>261</v>
      </c>
      <c r="C110">
        <v>2024</v>
      </c>
      <c r="D110" s="2">
        <v>45455</v>
      </c>
      <c r="E110" t="s">
        <v>1371</v>
      </c>
      <c r="F110" t="s">
        <v>1372</v>
      </c>
      <c r="G110" t="s">
        <v>1373</v>
      </c>
      <c r="H110" t="s">
        <v>1180</v>
      </c>
      <c r="I110" t="s">
        <v>973</v>
      </c>
      <c r="J110" t="s">
        <v>968</v>
      </c>
      <c r="N110" s="64" t="s">
        <v>1374</v>
      </c>
      <c r="T110" s="17"/>
    </row>
    <row r="111" spans="1:23">
      <c r="A111">
        <v>124</v>
      </c>
      <c r="B111" t="s">
        <v>261</v>
      </c>
      <c r="C111">
        <v>2024</v>
      </c>
      <c r="D111" s="2">
        <v>45456</v>
      </c>
      <c r="E111" t="s">
        <v>1375</v>
      </c>
      <c r="F111" t="s">
        <v>1368</v>
      </c>
      <c r="G111" t="s">
        <v>1376</v>
      </c>
      <c r="H111" t="s">
        <v>1180</v>
      </c>
      <c r="I111" t="s">
        <v>973</v>
      </c>
      <c r="J111" t="s">
        <v>1119</v>
      </c>
      <c r="N111" s="64" t="s">
        <v>1377</v>
      </c>
      <c r="T111" s="17"/>
    </row>
    <row r="112" spans="1:23" hidden="1">
      <c r="A112">
        <v>125</v>
      </c>
      <c r="B112" t="s">
        <v>261</v>
      </c>
      <c r="C112">
        <v>2024</v>
      </c>
      <c r="D112" s="2">
        <v>45456</v>
      </c>
      <c r="E112" t="s">
        <v>1378</v>
      </c>
      <c r="F112" t="s">
        <v>1379</v>
      </c>
      <c r="G112" t="s">
        <v>1380</v>
      </c>
      <c r="H112" t="s">
        <v>1180</v>
      </c>
      <c r="I112" t="s">
        <v>973</v>
      </c>
      <c r="J112" t="s">
        <v>968</v>
      </c>
      <c r="T112" s="17"/>
    </row>
    <row r="113" spans="1:23" hidden="1">
      <c r="A113">
        <v>135</v>
      </c>
      <c r="B113" t="s">
        <v>261</v>
      </c>
      <c r="C113">
        <v>2024</v>
      </c>
      <c r="D113" s="2">
        <v>45470</v>
      </c>
      <c r="E113" t="s">
        <v>1381</v>
      </c>
      <c r="G113" t="s">
        <v>1382</v>
      </c>
      <c r="H113" t="s">
        <v>1180</v>
      </c>
      <c r="I113" t="s">
        <v>1353</v>
      </c>
      <c r="J113" t="s">
        <v>968</v>
      </c>
      <c r="M113" t="s">
        <v>1383</v>
      </c>
      <c r="R113" t="s">
        <v>970</v>
      </c>
      <c r="T113" s="17"/>
    </row>
    <row r="114" spans="1:23" hidden="1">
      <c r="A114">
        <v>139</v>
      </c>
      <c r="B114" t="s">
        <v>261</v>
      </c>
      <c r="C114">
        <v>2024</v>
      </c>
      <c r="D114" s="2">
        <v>45471</v>
      </c>
      <c r="E114" t="s">
        <v>1384</v>
      </c>
      <c r="G114" t="s">
        <v>1385</v>
      </c>
      <c r="H114" t="s">
        <v>1180</v>
      </c>
      <c r="I114" t="s">
        <v>48</v>
      </c>
      <c r="J114" t="s">
        <v>968</v>
      </c>
      <c r="M114" t="s">
        <v>1386</v>
      </c>
      <c r="N114" s="64" t="s">
        <v>1387</v>
      </c>
      <c r="T114" s="17"/>
    </row>
    <row r="115" spans="1:23" ht="76.5" hidden="1">
      <c r="A115">
        <v>142</v>
      </c>
      <c r="B115" t="s">
        <v>274</v>
      </c>
      <c r="C115">
        <v>2024</v>
      </c>
      <c r="D115" s="2">
        <v>45474</v>
      </c>
      <c r="E115" t="s">
        <v>1388</v>
      </c>
      <c r="F115" t="s">
        <v>1389</v>
      </c>
      <c r="G115" t="s">
        <v>1390</v>
      </c>
      <c r="H115" t="s">
        <v>1180</v>
      </c>
      <c r="I115" t="s">
        <v>48</v>
      </c>
      <c r="J115" t="s">
        <v>968</v>
      </c>
      <c r="M115" s="44" t="s">
        <v>1391</v>
      </c>
      <c r="N115" s="64" t="s">
        <v>1392</v>
      </c>
      <c r="T115" s="17"/>
    </row>
    <row r="116" spans="1:23" hidden="1">
      <c r="A116">
        <v>145</v>
      </c>
      <c r="B116" t="s">
        <v>274</v>
      </c>
      <c r="C116">
        <v>2024</v>
      </c>
      <c r="D116" s="2">
        <v>45475</v>
      </c>
      <c r="E116" t="s">
        <v>1393</v>
      </c>
      <c r="F116" t="s">
        <v>1394</v>
      </c>
      <c r="G116" t="s">
        <v>1395</v>
      </c>
      <c r="H116" t="s">
        <v>1180</v>
      </c>
      <c r="I116" t="s">
        <v>973</v>
      </c>
      <c r="J116" t="s">
        <v>968</v>
      </c>
      <c r="N116" s="64">
        <v>1924421621</v>
      </c>
      <c r="T116" s="17"/>
    </row>
    <row r="117" spans="1:23" hidden="1">
      <c r="B117" t="s">
        <v>274</v>
      </c>
      <c r="C117">
        <v>2024</v>
      </c>
      <c r="D117" s="2">
        <v>45490</v>
      </c>
      <c r="E117" t="s">
        <v>1396</v>
      </c>
      <c r="H117" t="s">
        <v>967</v>
      </c>
      <c r="I117" t="s">
        <v>973</v>
      </c>
      <c r="J117" t="s">
        <v>968</v>
      </c>
      <c r="M117" t="s">
        <v>1397</v>
      </c>
      <c r="N117" s="64">
        <v>2018749207</v>
      </c>
      <c r="R117" t="s">
        <v>970</v>
      </c>
      <c r="T117" s="17"/>
      <c r="V117" s="2">
        <v>45495</v>
      </c>
      <c r="W117" s="46" t="s">
        <v>971</v>
      </c>
    </row>
    <row r="118" spans="1:23" hidden="1">
      <c r="B118" t="s">
        <v>274</v>
      </c>
      <c r="C118">
        <v>2024</v>
      </c>
      <c r="D118" s="2">
        <v>45490</v>
      </c>
      <c r="E118" t="s">
        <v>1398</v>
      </c>
      <c r="H118" t="s">
        <v>967</v>
      </c>
      <c r="I118" t="s">
        <v>973</v>
      </c>
      <c r="J118" t="s">
        <v>968</v>
      </c>
      <c r="M118" t="s">
        <v>1399</v>
      </c>
      <c r="N118" s="64">
        <v>2018975098</v>
      </c>
      <c r="R118" t="s">
        <v>970</v>
      </c>
      <c r="T118" s="17"/>
      <c r="V118" s="2"/>
      <c r="W118" s="46" t="s">
        <v>971</v>
      </c>
    </row>
    <row r="119" spans="1:23" hidden="1">
      <c r="A119">
        <v>154</v>
      </c>
      <c r="B119" t="s">
        <v>274</v>
      </c>
      <c r="C119">
        <v>2024</v>
      </c>
      <c r="D119" s="2">
        <v>45491</v>
      </c>
      <c r="E119" t="s">
        <v>1400</v>
      </c>
      <c r="F119" t="s">
        <v>1401</v>
      </c>
      <c r="G119" t="s">
        <v>1402</v>
      </c>
      <c r="H119" t="s">
        <v>1180</v>
      </c>
      <c r="I119" t="s">
        <v>973</v>
      </c>
      <c r="J119" t="s">
        <v>968</v>
      </c>
      <c r="M119" s="44" t="s">
        <v>1403</v>
      </c>
      <c r="N119" s="64">
        <v>1713336499</v>
      </c>
      <c r="O119">
        <v>1713399871</v>
      </c>
      <c r="R119" t="s">
        <v>970</v>
      </c>
      <c r="T119" s="17"/>
      <c r="W119" s="46" t="s">
        <v>971</v>
      </c>
    </row>
    <row r="120" spans="1:23" hidden="1">
      <c r="A120">
        <v>158</v>
      </c>
      <c r="B120" t="s">
        <v>274</v>
      </c>
      <c r="C120">
        <v>2024</v>
      </c>
      <c r="D120" s="2">
        <v>45491</v>
      </c>
      <c r="E120" t="s">
        <v>1404</v>
      </c>
      <c r="F120" t="s">
        <v>1401</v>
      </c>
      <c r="G120" t="s">
        <v>1402</v>
      </c>
      <c r="H120" t="s">
        <v>1180</v>
      </c>
      <c r="I120" t="s">
        <v>973</v>
      </c>
      <c r="J120" t="s">
        <v>968</v>
      </c>
      <c r="M120" s="44" t="s">
        <v>1405</v>
      </c>
      <c r="T120" s="17"/>
    </row>
    <row r="121" spans="1:23" hidden="1">
      <c r="B121" t="s">
        <v>274</v>
      </c>
      <c r="C121">
        <v>2024</v>
      </c>
      <c r="D121" s="2">
        <v>45496</v>
      </c>
      <c r="E121" t="s">
        <v>1406</v>
      </c>
      <c r="H121" t="s">
        <v>967</v>
      </c>
      <c r="I121" t="s">
        <v>48</v>
      </c>
      <c r="J121" t="s">
        <v>968</v>
      </c>
      <c r="M121" s="44" t="s">
        <v>1407</v>
      </c>
      <c r="N121" s="64">
        <v>888161030230</v>
      </c>
      <c r="R121" t="s">
        <v>970</v>
      </c>
      <c r="T121" s="17"/>
      <c r="W121" s="46" t="s">
        <v>971</v>
      </c>
    </row>
    <row r="122" spans="1:23" hidden="1">
      <c r="B122" t="s">
        <v>274</v>
      </c>
      <c r="C122">
        <v>2024</v>
      </c>
      <c r="D122" s="2">
        <v>45496</v>
      </c>
      <c r="E122" t="s">
        <v>1408</v>
      </c>
      <c r="H122" t="s">
        <v>967</v>
      </c>
      <c r="I122" t="s">
        <v>48</v>
      </c>
      <c r="J122" t="s">
        <v>968</v>
      </c>
      <c r="M122" s="44" t="s">
        <v>1409</v>
      </c>
      <c r="N122" s="64">
        <v>888291555390</v>
      </c>
      <c r="R122" t="s">
        <v>970</v>
      </c>
      <c r="T122" s="17"/>
      <c r="W122" s="46" t="s">
        <v>971</v>
      </c>
    </row>
    <row r="123" spans="1:23" hidden="1">
      <c r="B123" t="s">
        <v>274</v>
      </c>
      <c r="C123">
        <v>2024</v>
      </c>
      <c r="D123" s="2">
        <v>45496</v>
      </c>
      <c r="E123" t="s">
        <v>1410</v>
      </c>
      <c r="H123" t="s">
        <v>967</v>
      </c>
      <c r="I123" t="s">
        <v>48</v>
      </c>
      <c r="J123" t="s">
        <v>968</v>
      </c>
      <c r="M123" s="44" t="s">
        <v>1411</v>
      </c>
      <c r="N123" s="64">
        <v>888291558703</v>
      </c>
      <c r="R123" t="s">
        <v>970</v>
      </c>
      <c r="T123" s="17"/>
      <c r="W123" s="46" t="s">
        <v>971</v>
      </c>
    </row>
    <row r="124" spans="1:23" hidden="1">
      <c r="B124" t="s">
        <v>274</v>
      </c>
      <c r="C124">
        <v>2024</v>
      </c>
      <c r="D124" s="2">
        <v>45496</v>
      </c>
      <c r="E124" t="s">
        <v>1412</v>
      </c>
      <c r="H124" t="s">
        <v>967</v>
      </c>
      <c r="I124" t="s">
        <v>48</v>
      </c>
      <c r="J124" t="s">
        <v>968</v>
      </c>
      <c r="M124" s="44" t="s">
        <v>1413</v>
      </c>
      <c r="N124" s="64">
        <v>888042222038</v>
      </c>
      <c r="R124" t="s">
        <v>970</v>
      </c>
      <c r="T124" s="17"/>
      <c r="W124" s="46" t="s">
        <v>971</v>
      </c>
    </row>
    <row r="125" spans="1:23" hidden="1">
      <c r="B125" t="s">
        <v>274</v>
      </c>
      <c r="C125">
        <v>2024</v>
      </c>
      <c r="D125" s="2">
        <v>45496</v>
      </c>
      <c r="E125" t="s">
        <v>1414</v>
      </c>
      <c r="H125" t="s">
        <v>967</v>
      </c>
      <c r="I125" t="s">
        <v>48</v>
      </c>
      <c r="J125" t="s">
        <v>968</v>
      </c>
      <c r="M125" s="44" t="s">
        <v>1415</v>
      </c>
      <c r="N125" s="64">
        <v>888161030771</v>
      </c>
      <c r="R125" t="s">
        <v>970</v>
      </c>
      <c r="T125" s="17"/>
      <c r="W125" s="46" t="s">
        <v>971</v>
      </c>
    </row>
    <row r="126" spans="1:23" hidden="1">
      <c r="B126" t="s">
        <v>274</v>
      </c>
      <c r="C126">
        <v>2024</v>
      </c>
      <c r="D126" s="2">
        <v>45496</v>
      </c>
      <c r="E126" t="s">
        <v>1416</v>
      </c>
      <c r="H126" t="s">
        <v>967</v>
      </c>
      <c r="I126" t="s">
        <v>48</v>
      </c>
      <c r="J126" t="s">
        <v>968</v>
      </c>
      <c r="M126" s="44" t="s">
        <v>1417</v>
      </c>
      <c r="N126" s="64">
        <v>888091450016</v>
      </c>
      <c r="R126" t="s">
        <v>970</v>
      </c>
      <c r="T126" s="17"/>
      <c r="W126" s="46" t="s">
        <v>971</v>
      </c>
    </row>
    <row r="127" spans="1:23" hidden="1">
      <c r="B127" t="s">
        <v>274</v>
      </c>
      <c r="C127">
        <v>2024</v>
      </c>
      <c r="D127" s="2">
        <v>45496</v>
      </c>
      <c r="E127" t="s">
        <v>1418</v>
      </c>
      <c r="H127" t="s">
        <v>967</v>
      </c>
      <c r="I127" t="s">
        <v>48</v>
      </c>
      <c r="J127" t="s">
        <v>968</v>
      </c>
      <c r="M127" s="44" t="s">
        <v>1419</v>
      </c>
      <c r="N127" s="64">
        <v>888091452975</v>
      </c>
      <c r="R127" t="s">
        <v>970</v>
      </c>
      <c r="T127" s="17"/>
      <c r="W127" s="46" t="s">
        <v>971</v>
      </c>
    </row>
    <row r="128" spans="1:23" hidden="1">
      <c r="B128" t="s">
        <v>274</v>
      </c>
      <c r="C128">
        <v>2024</v>
      </c>
      <c r="D128" s="2">
        <v>45496</v>
      </c>
      <c r="E128" t="s">
        <v>1420</v>
      </c>
      <c r="H128" t="s">
        <v>967</v>
      </c>
      <c r="I128" t="s">
        <v>48</v>
      </c>
      <c r="J128" t="s">
        <v>968</v>
      </c>
      <c r="M128" s="44" t="s">
        <v>1421</v>
      </c>
      <c r="N128" s="64">
        <v>888271114776</v>
      </c>
      <c r="R128" t="s">
        <v>970</v>
      </c>
      <c r="T128" s="17"/>
      <c r="W128" s="46" t="s">
        <v>971</v>
      </c>
    </row>
    <row r="129" spans="1:23" hidden="1">
      <c r="B129" t="s">
        <v>274</v>
      </c>
      <c r="C129">
        <v>2024</v>
      </c>
      <c r="D129" s="2">
        <v>45496</v>
      </c>
      <c r="E129" t="s">
        <v>1422</v>
      </c>
      <c r="H129" t="s">
        <v>967</v>
      </c>
      <c r="I129" t="s">
        <v>48</v>
      </c>
      <c r="J129" t="s">
        <v>968</v>
      </c>
      <c r="M129" s="44" t="s">
        <v>1423</v>
      </c>
      <c r="N129" s="64">
        <v>888261448870</v>
      </c>
      <c r="R129" t="s">
        <v>970</v>
      </c>
      <c r="T129" s="17"/>
      <c r="W129" s="46" t="s">
        <v>971</v>
      </c>
    </row>
    <row r="130" spans="1:23" hidden="1">
      <c r="B130" t="s">
        <v>274</v>
      </c>
      <c r="C130">
        <v>2024</v>
      </c>
      <c r="D130" s="2">
        <v>45496</v>
      </c>
      <c r="E130" t="s">
        <v>1424</v>
      </c>
      <c r="H130" t="s">
        <v>967</v>
      </c>
      <c r="I130" t="s">
        <v>48</v>
      </c>
      <c r="J130" t="s">
        <v>968</v>
      </c>
      <c r="M130" s="44" t="s">
        <v>1425</v>
      </c>
      <c r="N130" s="64">
        <v>888261444430</v>
      </c>
      <c r="R130" t="s">
        <v>970</v>
      </c>
      <c r="T130" s="17"/>
      <c r="W130" s="46" t="s">
        <v>971</v>
      </c>
    </row>
    <row r="131" spans="1:23" hidden="1">
      <c r="B131" t="s">
        <v>274</v>
      </c>
      <c r="C131">
        <v>2024</v>
      </c>
      <c r="D131" s="2">
        <v>45496</v>
      </c>
      <c r="E131" t="s">
        <v>1426</v>
      </c>
      <c r="H131" t="s">
        <v>967</v>
      </c>
      <c r="I131" t="s">
        <v>48</v>
      </c>
      <c r="J131" t="s">
        <v>968</v>
      </c>
      <c r="M131" s="44" t="s">
        <v>1427</v>
      </c>
      <c r="N131" s="64">
        <v>888291607213</v>
      </c>
      <c r="R131" t="s">
        <v>970</v>
      </c>
      <c r="T131" s="17"/>
      <c r="W131" s="46" t="s">
        <v>971</v>
      </c>
    </row>
    <row r="132" spans="1:23" hidden="1">
      <c r="B132" t="s">
        <v>274</v>
      </c>
      <c r="C132">
        <v>2024</v>
      </c>
      <c r="D132" s="2">
        <v>45496</v>
      </c>
      <c r="E132" t="s">
        <v>1428</v>
      </c>
      <c r="H132" t="s">
        <v>967</v>
      </c>
      <c r="I132" t="s">
        <v>48</v>
      </c>
      <c r="J132" t="s">
        <v>968</v>
      </c>
      <c r="M132" s="44" t="s">
        <v>1429</v>
      </c>
      <c r="N132" s="64">
        <v>888021046135</v>
      </c>
      <c r="R132" t="s">
        <v>970</v>
      </c>
      <c r="T132" s="17"/>
      <c r="W132" s="46" t="s">
        <v>971</v>
      </c>
    </row>
    <row r="133" spans="1:23" hidden="1">
      <c r="A133">
        <v>159</v>
      </c>
      <c r="B133" t="s">
        <v>274</v>
      </c>
      <c r="C133">
        <v>2024</v>
      </c>
      <c r="D133" s="34" t="s">
        <v>1430</v>
      </c>
      <c r="E133" t="s">
        <v>1431</v>
      </c>
      <c r="F133" t="s">
        <v>1432</v>
      </c>
      <c r="G133" t="s">
        <v>1433</v>
      </c>
      <c r="H133" t="s">
        <v>1180</v>
      </c>
      <c r="I133" t="s">
        <v>973</v>
      </c>
      <c r="J133" t="s">
        <v>968</v>
      </c>
      <c r="N133" s="64">
        <v>122510260797</v>
      </c>
      <c r="T133" s="17"/>
    </row>
    <row r="134" spans="1:23" hidden="1">
      <c r="A134">
        <v>161</v>
      </c>
      <c r="B134" t="s">
        <v>274</v>
      </c>
      <c r="C134">
        <v>2024</v>
      </c>
      <c r="D134" s="34" t="s">
        <v>1434</v>
      </c>
      <c r="E134" t="s">
        <v>1435</v>
      </c>
      <c r="F134" t="s">
        <v>1436</v>
      </c>
      <c r="G134" t="s">
        <v>1436</v>
      </c>
      <c r="H134" t="s">
        <v>1180</v>
      </c>
      <c r="I134" t="s">
        <v>48</v>
      </c>
      <c r="J134" t="s">
        <v>968</v>
      </c>
      <c r="N134" s="64" t="s">
        <v>1437</v>
      </c>
      <c r="T134" s="17"/>
    </row>
    <row r="135" spans="1:23" hidden="1">
      <c r="A135">
        <v>162</v>
      </c>
      <c r="B135" t="s">
        <v>274</v>
      </c>
      <c r="C135">
        <v>2024</v>
      </c>
      <c r="D135" s="34" t="s">
        <v>1434</v>
      </c>
      <c r="E135" t="s">
        <v>1438</v>
      </c>
      <c r="F135" t="s">
        <v>1439</v>
      </c>
      <c r="G135" t="s">
        <v>1440</v>
      </c>
      <c r="H135" t="s">
        <v>1180</v>
      </c>
      <c r="I135" t="s">
        <v>973</v>
      </c>
      <c r="J135" t="s">
        <v>968</v>
      </c>
      <c r="N135" s="64">
        <v>1755594566</v>
      </c>
      <c r="T135" s="17"/>
    </row>
    <row r="136" spans="1:23" hidden="1">
      <c r="A136">
        <v>164</v>
      </c>
      <c r="B136" t="s">
        <v>274</v>
      </c>
      <c r="C136">
        <v>2024</v>
      </c>
      <c r="D136" s="34" t="s">
        <v>1441</v>
      </c>
      <c r="E136" t="s">
        <v>1442</v>
      </c>
      <c r="H136" t="s">
        <v>1364</v>
      </c>
      <c r="I136" t="s">
        <v>973</v>
      </c>
      <c r="J136" t="s">
        <v>968</v>
      </c>
      <c r="N136" s="64">
        <v>1924552547</v>
      </c>
      <c r="T136" s="17">
        <v>49573600</v>
      </c>
      <c r="V136" t="s">
        <v>1443</v>
      </c>
      <c r="W136" s="46" t="s">
        <v>971</v>
      </c>
    </row>
    <row r="137" spans="1:23" hidden="1">
      <c r="B137" t="s">
        <v>274</v>
      </c>
      <c r="C137">
        <v>2024</v>
      </c>
      <c r="D137" s="34" t="s">
        <v>1441</v>
      </c>
      <c r="E137" t="s">
        <v>1444</v>
      </c>
      <c r="H137" t="s">
        <v>1180</v>
      </c>
      <c r="I137" t="s">
        <v>973</v>
      </c>
      <c r="J137" t="s">
        <v>968</v>
      </c>
      <c r="N137" s="64">
        <v>1917278179</v>
      </c>
      <c r="T137" s="17"/>
      <c r="V137" t="s">
        <v>1445</v>
      </c>
      <c r="W137" s="46" t="s">
        <v>971</v>
      </c>
    </row>
    <row r="138" spans="1:23" hidden="1">
      <c r="B138" t="s">
        <v>274</v>
      </c>
      <c r="C138">
        <v>2024</v>
      </c>
      <c r="D138" s="34" t="s">
        <v>1441</v>
      </c>
      <c r="E138" t="s">
        <v>1444</v>
      </c>
      <c r="H138" t="s">
        <v>1364</v>
      </c>
      <c r="I138" t="s">
        <v>973</v>
      </c>
      <c r="J138" t="s">
        <v>968</v>
      </c>
      <c r="N138" s="72" t="s">
        <v>1446</v>
      </c>
      <c r="O138" t="s">
        <v>1447</v>
      </c>
      <c r="T138" s="17"/>
      <c r="V138" s="2">
        <v>45605</v>
      </c>
      <c r="W138" s="46" t="s">
        <v>971</v>
      </c>
    </row>
    <row r="139" spans="1:23" hidden="1">
      <c r="B139" t="s">
        <v>274</v>
      </c>
      <c r="C139">
        <v>2024</v>
      </c>
      <c r="D139" s="34" t="s">
        <v>1441</v>
      </c>
      <c r="E139" t="s">
        <v>1444</v>
      </c>
      <c r="H139" t="s">
        <v>1364</v>
      </c>
      <c r="I139" t="s">
        <v>973</v>
      </c>
      <c r="J139" t="s">
        <v>968</v>
      </c>
      <c r="N139" s="72">
        <v>1927098885</v>
      </c>
      <c r="O139">
        <v>1926716689</v>
      </c>
      <c r="T139" s="17"/>
      <c r="V139" s="2">
        <v>45605</v>
      </c>
      <c r="W139" s="46" t="s">
        <v>971</v>
      </c>
    </row>
    <row r="140" spans="1:23" hidden="1">
      <c r="B140" t="s">
        <v>274</v>
      </c>
      <c r="C140">
        <v>2024</v>
      </c>
      <c r="D140" s="34" t="s">
        <v>1441</v>
      </c>
      <c r="E140" t="s">
        <v>1444</v>
      </c>
      <c r="H140" t="s">
        <v>1364</v>
      </c>
      <c r="I140" t="s">
        <v>973</v>
      </c>
      <c r="J140" t="s">
        <v>968</v>
      </c>
      <c r="N140" s="72" t="s">
        <v>1448</v>
      </c>
      <c r="T140" s="17"/>
      <c r="V140" s="2">
        <v>45452</v>
      </c>
      <c r="W140" s="46" t="s">
        <v>971</v>
      </c>
    </row>
    <row r="141" spans="1:23" hidden="1">
      <c r="B141" t="s">
        <v>274</v>
      </c>
      <c r="C141">
        <v>2024</v>
      </c>
      <c r="D141" s="34" t="s">
        <v>1441</v>
      </c>
      <c r="E141" t="s">
        <v>1444</v>
      </c>
      <c r="H141" t="s">
        <v>1364</v>
      </c>
      <c r="I141" t="s">
        <v>973</v>
      </c>
      <c r="J141" t="s">
        <v>968</v>
      </c>
      <c r="M141" t="s">
        <v>1449</v>
      </c>
      <c r="N141" s="72">
        <v>1711167392</v>
      </c>
      <c r="T141" s="17"/>
      <c r="V141" s="2">
        <v>45421</v>
      </c>
      <c r="W141" s="46" t="s">
        <v>971</v>
      </c>
    </row>
    <row r="142" spans="1:23" hidden="1">
      <c r="B142" t="s">
        <v>274</v>
      </c>
      <c r="C142">
        <v>2024</v>
      </c>
      <c r="D142" s="34" t="s">
        <v>1441</v>
      </c>
      <c r="E142" t="s">
        <v>1444</v>
      </c>
      <c r="H142" t="s">
        <v>1364</v>
      </c>
      <c r="I142" t="s">
        <v>973</v>
      </c>
      <c r="J142" t="s">
        <v>968</v>
      </c>
      <c r="M142" t="s">
        <v>1450</v>
      </c>
      <c r="N142" s="72">
        <v>1706719562</v>
      </c>
      <c r="O142">
        <v>1706719615</v>
      </c>
      <c r="T142" s="17"/>
      <c r="V142" s="2">
        <v>45452</v>
      </c>
      <c r="W142" s="46" t="s">
        <v>971</v>
      </c>
    </row>
    <row r="143" spans="1:23" hidden="1">
      <c r="B143" t="s">
        <v>274</v>
      </c>
      <c r="C143">
        <v>2024</v>
      </c>
      <c r="D143" s="34" t="s">
        <v>1441</v>
      </c>
      <c r="E143" t="s">
        <v>1444</v>
      </c>
      <c r="H143" t="s">
        <v>1364</v>
      </c>
      <c r="I143" t="s">
        <v>973</v>
      </c>
      <c r="J143" t="s">
        <v>968</v>
      </c>
      <c r="M143" t="s">
        <v>1451</v>
      </c>
      <c r="N143" s="72">
        <v>1714034568</v>
      </c>
      <c r="O143">
        <v>1713865649</v>
      </c>
      <c r="T143" s="17"/>
      <c r="V143" s="2" t="s">
        <v>1452</v>
      </c>
      <c r="W143" s="46" t="s">
        <v>971</v>
      </c>
    </row>
    <row r="144" spans="1:23" hidden="1">
      <c r="B144" t="s">
        <v>274</v>
      </c>
      <c r="C144">
        <v>2024</v>
      </c>
      <c r="D144" s="34" t="s">
        <v>1441</v>
      </c>
      <c r="E144" t="s">
        <v>1444</v>
      </c>
      <c r="H144" t="s">
        <v>1364</v>
      </c>
      <c r="I144" t="s">
        <v>973</v>
      </c>
      <c r="J144" t="s">
        <v>968</v>
      </c>
      <c r="M144" t="s">
        <v>1453</v>
      </c>
      <c r="N144" s="72">
        <v>1713548226</v>
      </c>
      <c r="O144">
        <v>1713587475</v>
      </c>
      <c r="T144" s="17"/>
      <c r="V144" s="2" t="s">
        <v>1452</v>
      </c>
      <c r="W144" s="46" t="s">
        <v>971</v>
      </c>
    </row>
    <row r="145" spans="1:23" hidden="1">
      <c r="B145" t="s">
        <v>274</v>
      </c>
      <c r="C145">
        <v>2024</v>
      </c>
      <c r="D145" s="34" t="s">
        <v>1441</v>
      </c>
      <c r="E145" t="s">
        <v>1444</v>
      </c>
      <c r="H145" t="s">
        <v>1364</v>
      </c>
      <c r="I145" t="s">
        <v>973</v>
      </c>
      <c r="J145" t="s">
        <v>968</v>
      </c>
      <c r="M145" t="s">
        <v>1454</v>
      </c>
      <c r="N145" s="72">
        <v>1750246170</v>
      </c>
      <c r="O145">
        <v>1750116708</v>
      </c>
      <c r="T145" s="17"/>
      <c r="V145" s="2" t="s">
        <v>1455</v>
      </c>
      <c r="W145" s="46" t="s">
        <v>971</v>
      </c>
    </row>
    <row r="146" spans="1:23" hidden="1">
      <c r="B146" t="s">
        <v>274</v>
      </c>
      <c r="C146">
        <v>2024</v>
      </c>
      <c r="D146" s="34" t="s">
        <v>1441</v>
      </c>
      <c r="E146" t="s">
        <v>1444</v>
      </c>
      <c r="H146" t="s">
        <v>1364</v>
      </c>
      <c r="I146" t="s">
        <v>973</v>
      </c>
      <c r="J146" t="s">
        <v>968</v>
      </c>
      <c r="M146" t="s">
        <v>1456</v>
      </c>
      <c r="N146" s="72">
        <v>1711012930</v>
      </c>
      <c r="O146">
        <v>1711080515</v>
      </c>
      <c r="T146" s="17"/>
      <c r="V146" s="2" t="s">
        <v>1455</v>
      </c>
      <c r="W146" s="46" t="s">
        <v>971</v>
      </c>
    </row>
    <row r="147" spans="1:23" hidden="1">
      <c r="B147" t="s">
        <v>274</v>
      </c>
      <c r="C147">
        <v>2024</v>
      </c>
      <c r="D147" s="34" t="s">
        <v>1441</v>
      </c>
      <c r="E147" t="s">
        <v>1444</v>
      </c>
      <c r="H147" t="s">
        <v>1364</v>
      </c>
      <c r="I147" t="s">
        <v>973</v>
      </c>
      <c r="J147" t="s">
        <v>968</v>
      </c>
      <c r="M147" t="s">
        <v>1457</v>
      </c>
      <c r="N147" s="72">
        <v>1736922014</v>
      </c>
      <c r="O147">
        <v>1737640313</v>
      </c>
      <c r="T147" s="17"/>
      <c r="V147" s="2">
        <v>45483</v>
      </c>
      <c r="W147" s="46" t="s">
        <v>971</v>
      </c>
    </row>
    <row r="148" spans="1:23" hidden="1">
      <c r="B148" t="s">
        <v>274</v>
      </c>
      <c r="C148">
        <v>2024</v>
      </c>
      <c r="D148" s="34" t="s">
        <v>1441</v>
      </c>
      <c r="E148" t="s">
        <v>1444</v>
      </c>
      <c r="H148" t="s">
        <v>1364</v>
      </c>
      <c r="I148" t="s">
        <v>973</v>
      </c>
      <c r="J148" t="s">
        <v>968</v>
      </c>
      <c r="M148" t="s">
        <v>1458</v>
      </c>
      <c r="N148" s="72">
        <v>1714433586</v>
      </c>
      <c r="T148" s="17"/>
      <c r="V148" s="2">
        <v>45638</v>
      </c>
      <c r="W148" s="46" t="s">
        <v>971</v>
      </c>
    </row>
    <row r="149" spans="1:23" hidden="1">
      <c r="B149" t="s">
        <v>274</v>
      </c>
      <c r="C149">
        <v>2024</v>
      </c>
      <c r="D149" s="34" t="s">
        <v>1441</v>
      </c>
      <c r="E149" t="s">
        <v>1444</v>
      </c>
      <c r="H149" t="s">
        <v>1364</v>
      </c>
      <c r="I149" t="s">
        <v>973</v>
      </c>
      <c r="J149" t="s">
        <v>968</v>
      </c>
      <c r="M149" t="s">
        <v>1459</v>
      </c>
      <c r="N149" s="72">
        <v>1777419589</v>
      </c>
      <c r="T149" s="17"/>
      <c r="V149" s="2"/>
      <c r="W149" s="46" t="s">
        <v>971</v>
      </c>
    </row>
    <row r="150" spans="1:23" hidden="1">
      <c r="B150" t="s">
        <v>274</v>
      </c>
      <c r="C150">
        <v>2024</v>
      </c>
      <c r="D150" s="34" t="s">
        <v>1441</v>
      </c>
      <c r="E150" t="s">
        <v>1444</v>
      </c>
      <c r="H150" t="s">
        <v>1364</v>
      </c>
      <c r="I150" t="s">
        <v>973</v>
      </c>
      <c r="J150" t="s">
        <v>968</v>
      </c>
      <c r="M150" t="s">
        <v>1460</v>
      </c>
      <c r="N150" s="72">
        <v>1928904349</v>
      </c>
      <c r="T150" s="17"/>
      <c r="V150" s="2"/>
      <c r="W150" s="46" t="s">
        <v>971</v>
      </c>
    </row>
    <row r="151" spans="1:23" hidden="1">
      <c r="B151" t="s">
        <v>274</v>
      </c>
      <c r="C151">
        <v>2024</v>
      </c>
      <c r="D151" s="34" t="s">
        <v>1441</v>
      </c>
      <c r="E151" t="s">
        <v>1444</v>
      </c>
      <c r="H151" t="s">
        <v>1364</v>
      </c>
      <c r="I151" t="s">
        <v>973</v>
      </c>
      <c r="J151" t="s">
        <v>968</v>
      </c>
      <c r="M151" t="s">
        <v>1461</v>
      </c>
      <c r="N151" s="72">
        <v>1732963645</v>
      </c>
      <c r="T151" s="17"/>
      <c r="V151" s="2"/>
      <c r="W151" s="46" t="s">
        <v>971</v>
      </c>
    </row>
    <row r="152" spans="1:23" hidden="1">
      <c r="B152" t="s">
        <v>274</v>
      </c>
      <c r="C152">
        <v>2024</v>
      </c>
      <c r="D152" s="34" t="s">
        <v>1441</v>
      </c>
      <c r="E152" t="s">
        <v>1444</v>
      </c>
      <c r="H152" t="s">
        <v>1364</v>
      </c>
      <c r="I152" t="s">
        <v>973</v>
      </c>
      <c r="J152" t="s">
        <v>968</v>
      </c>
      <c r="M152" t="s">
        <v>1462</v>
      </c>
      <c r="N152" s="72" t="s">
        <v>1446</v>
      </c>
      <c r="O152" t="s">
        <v>1447</v>
      </c>
      <c r="T152" s="17"/>
      <c r="V152" s="2"/>
      <c r="W152" s="46" t="s">
        <v>971</v>
      </c>
    </row>
    <row r="153" spans="1:23" hidden="1">
      <c r="B153" t="s">
        <v>274</v>
      </c>
      <c r="C153">
        <v>2024</v>
      </c>
      <c r="D153" s="34" t="s">
        <v>1441</v>
      </c>
      <c r="E153" t="s">
        <v>1444</v>
      </c>
      <c r="H153" t="s">
        <v>1364</v>
      </c>
      <c r="I153" t="s">
        <v>973</v>
      </c>
      <c r="J153" t="s">
        <v>968</v>
      </c>
      <c r="M153" t="s">
        <v>1463</v>
      </c>
      <c r="N153" s="72" t="s">
        <v>1464</v>
      </c>
      <c r="T153" s="17"/>
      <c r="V153" s="2"/>
      <c r="W153" s="46" t="s">
        <v>971</v>
      </c>
    </row>
    <row r="154" spans="1:23" hidden="1">
      <c r="B154" t="s">
        <v>274</v>
      </c>
      <c r="C154">
        <v>2024</v>
      </c>
      <c r="D154" s="34" t="s">
        <v>1441</v>
      </c>
      <c r="E154" t="s">
        <v>1444</v>
      </c>
      <c r="H154" t="s">
        <v>1364</v>
      </c>
      <c r="I154" t="s">
        <v>973</v>
      </c>
      <c r="J154" t="s">
        <v>968</v>
      </c>
      <c r="M154" t="s">
        <v>1465</v>
      </c>
      <c r="N154" s="72">
        <v>1725011438</v>
      </c>
      <c r="T154" s="17"/>
      <c r="V154" s="2"/>
      <c r="W154" s="46" t="s">
        <v>971</v>
      </c>
    </row>
    <row r="155" spans="1:23" hidden="1">
      <c r="B155" t="s">
        <v>274</v>
      </c>
      <c r="C155">
        <v>2024</v>
      </c>
      <c r="D155" s="34" t="s">
        <v>1441</v>
      </c>
      <c r="E155" t="s">
        <v>1444</v>
      </c>
      <c r="H155" t="s">
        <v>1364</v>
      </c>
      <c r="I155" t="s">
        <v>973</v>
      </c>
      <c r="J155" t="s">
        <v>968</v>
      </c>
      <c r="M155" t="s">
        <v>1466</v>
      </c>
      <c r="N155" s="72">
        <v>1750364537</v>
      </c>
      <c r="O155">
        <v>1750116571</v>
      </c>
      <c r="T155" s="17"/>
      <c r="V155" s="2"/>
      <c r="W155" s="46" t="s">
        <v>971</v>
      </c>
    </row>
    <row r="156" spans="1:23" hidden="1">
      <c r="A156">
        <v>170</v>
      </c>
      <c r="B156" t="s">
        <v>274</v>
      </c>
      <c r="C156">
        <v>2024</v>
      </c>
      <c r="D156" s="34" t="s">
        <v>1093</v>
      </c>
      <c r="E156" t="s">
        <v>1467</v>
      </c>
      <c r="F156" t="s">
        <v>1468</v>
      </c>
      <c r="G156" t="s">
        <v>1469</v>
      </c>
      <c r="H156" t="s">
        <v>1180</v>
      </c>
      <c r="I156" t="s">
        <v>48</v>
      </c>
      <c r="J156" t="s">
        <v>968</v>
      </c>
      <c r="M156" t="s">
        <v>1470</v>
      </c>
      <c r="N156" s="64" t="s">
        <v>1471</v>
      </c>
      <c r="T156" s="17"/>
    </row>
    <row r="157" spans="1:23" hidden="1">
      <c r="A157">
        <v>171</v>
      </c>
      <c r="B157" t="s">
        <v>274</v>
      </c>
      <c r="C157">
        <v>2024</v>
      </c>
      <c r="D157" s="34" t="s">
        <v>1093</v>
      </c>
      <c r="E157" t="s">
        <v>1472</v>
      </c>
      <c r="F157" t="s">
        <v>1473</v>
      </c>
      <c r="G157" t="s">
        <v>1474</v>
      </c>
      <c r="H157" t="s">
        <v>1180</v>
      </c>
      <c r="I157" t="s">
        <v>48</v>
      </c>
      <c r="J157" t="s">
        <v>968</v>
      </c>
      <c r="M157" t="s">
        <v>1475</v>
      </c>
      <c r="N157" s="64" t="s">
        <v>1476</v>
      </c>
      <c r="T157" s="17"/>
    </row>
    <row r="158" spans="1:23" hidden="1">
      <c r="A158">
        <v>174</v>
      </c>
      <c r="B158" t="s">
        <v>303</v>
      </c>
      <c r="C158">
        <v>2024</v>
      </c>
      <c r="D158" s="2">
        <v>45451</v>
      </c>
      <c r="E158" t="s">
        <v>1477</v>
      </c>
      <c r="F158" t="s">
        <v>1478</v>
      </c>
      <c r="G158" t="s">
        <v>1479</v>
      </c>
      <c r="H158" t="s">
        <v>1180</v>
      </c>
      <c r="I158" t="s">
        <v>48</v>
      </c>
      <c r="J158" t="s">
        <v>968</v>
      </c>
      <c r="M158" t="s">
        <v>1480</v>
      </c>
      <c r="T158" s="17"/>
    </row>
    <row r="159" spans="1:23" hidden="1">
      <c r="A159">
        <v>175</v>
      </c>
      <c r="B159" t="s">
        <v>303</v>
      </c>
      <c r="C159">
        <v>2024</v>
      </c>
      <c r="D159" s="2">
        <v>45451</v>
      </c>
      <c r="E159" t="s">
        <v>1481</v>
      </c>
      <c r="F159" t="s">
        <v>1482</v>
      </c>
      <c r="G159" t="s">
        <v>1482</v>
      </c>
      <c r="H159" t="s">
        <v>1180</v>
      </c>
      <c r="I159" t="s">
        <v>48</v>
      </c>
      <c r="J159" t="s">
        <v>968</v>
      </c>
      <c r="M159" s="44" t="s">
        <v>1483</v>
      </c>
      <c r="N159" s="72" t="s">
        <v>1484</v>
      </c>
      <c r="T159" s="17"/>
    </row>
    <row r="160" spans="1:23">
      <c r="A160">
        <v>177</v>
      </c>
      <c r="B160" t="s">
        <v>303</v>
      </c>
      <c r="C160">
        <v>2024</v>
      </c>
      <c r="D160" s="2">
        <v>45512</v>
      </c>
      <c r="E160" t="s">
        <v>1485</v>
      </c>
      <c r="F160" t="s">
        <v>1486</v>
      </c>
      <c r="G160" t="s">
        <v>1487</v>
      </c>
      <c r="H160" t="s">
        <v>1180</v>
      </c>
      <c r="I160" t="s">
        <v>973</v>
      </c>
      <c r="J160" t="s">
        <v>1119</v>
      </c>
      <c r="M160" t="s">
        <v>1488</v>
      </c>
      <c r="N160" s="64">
        <v>1257635285</v>
      </c>
      <c r="T160" s="17"/>
    </row>
    <row r="161" spans="1:23" hidden="1">
      <c r="A161">
        <v>194</v>
      </c>
      <c r="B161" t="s">
        <v>303</v>
      </c>
      <c r="C161">
        <v>2024</v>
      </c>
      <c r="D161" t="s">
        <v>1131</v>
      </c>
      <c r="E161" t="s">
        <v>1489</v>
      </c>
      <c r="F161" t="s">
        <v>1490</v>
      </c>
      <c r="G161" t="s">
        <v>1491</v>
      </c>
      <c r="H161" t="s">
        <v>1180</v>
      </c>
      <c r="I161" t="s">
        <v>973</v>
      </c>
      <c r="J161" t="s">
        <v>968</v>
      </c>
      <c r="T161" s="17"/>
    </row>
    <row r="162" spans="1:23" hidden="1">
      <c r="A162">
        <v>199</v>
      </c>
      <c r="B162" t="s">
        <v>338</v>
      </c>
      <c r="C162">
        <v>2024</v>
      </c>
      <c r="D162" s="2">
        <v>45391</v>
      </c>
      <c r="E162" t="s">
        <v>1492</v>
      </c>
      <c r="F162" t="s">
        <v>1493</v>
      </c>
      <c r="G162" t="s">
        <v>1494</v>
      </c>
      <c r="H162" t="s">
        <v>1180</v>
      </c>
      <c r="I162" t="s">
        <v>48</v>
      </c>
      <c r="J162" t="s">
        <v>1139</v>
      </c>
      <c r="N162" s="64" t="s">
        <v>1495</v>
      </c>
      <c r="T162" s="17"/>
    </row>
    <row r="163" spans="1:23" hidden="1">
      <c r="A163">
        <v>203</v>
      </c>
      <c r="B163" t="s">
        <v>338</v>
      </c>
      <c r="C163">
        <v>2024</v>
      </c>
      <c r="D163" s="2">
        <v>45605</v>
      </c>
      <c r="E163" t="s">
        <v>1496</v>
      </c>
      <c r="F163" t="s">
        <v>1497</v>
      </c>
      <c r="G163" t="s">
        <v>1498</v>
      </c>
      <c r="H163" t="s">
        <v>1180</v>
      </c>
      <c r="I163" t="s">
        <v>48</v>
      </c>
      <c r="J163" t="s">
        <v>1139</v>
      </c>
      <c r="T163" s="17"/>
    </row>
    <row r="164" spans="1:23" hidden="1">
      <c r="A164">
        <v>204</v>
      </c>
      <c r="B164" t="s">
        <v>338</v>
      </c>
      <c r="C164">
        <v>2024</v>
      </c>
      <c r="D164" s="2">
        <v>45605</v>
      </c>
      <c r="E164" t="s">
        <v>1499</v>
      </c>
      <c r="F164" t="s">
        <v>1500</v>
      </c>
      <c r="G164" t="s">
        <v>1501</v>
      </c>
      <c r="H164" t="s">
        <v>1180</v>
      </c>
      <c r="I164" t="s">
        <v>48</v>
      </c>
      <c r="J164" t="s">
        <v>968</v>
      </c>
      <c r="N164" s="64" t="s">
        <v>1502</v>
      </c>
      <c r="T164" s="17"/>
    </row>
    <row r="165" spans="1:23" hidden="1">
      <c r="A165">
        <v>205</v>
      </c>
      <c r="B165" t="s">
        <v>338</v>
      </c>
      <c r="C165">
        <v>2024</v>
      </c>
      <c r="D165" t="s">
        <v>1503</v>
      </c>
      <c r="E165" t="s">
        <v>1504</v>
      </c>
      <c r="F165" t="s">
        <v>1505</v>
      </c>
      <c r="G165" t="s">
        <v>1506</v>
      </c>
      <c r="H165" t="s">
        <v>1180</v>
      </c>
      <c r="I165" t="s">
        <v>48</v>
      </c>
      <c r="J165" t="s">
        <v>968</v>
      </c>
      <c r="N165" s="64">
        <v>888277293485</v>
      </c>
      <c r="T165" s="17"/>
    </row>
    <row r="166" spans="1:23" hidden="1">
      <c r="A166">
        <v>210</v>
      </c>
      <c r="B166" t="s">
        <v>338</v>
      </c>
      <c r="C166">
        <v>2024</v>
      </c>
      <c r="D166" t="s">
        <v>1507</v>
      </c>
      <c r="E166" t="s">
        <v>1508</v>
      </c>
      <c r="G166" t="s">
        <v>1509</v>
      </c>
      <c r="H166" t="s">
        <v>1180</v>
      </c>
      <c r="I166" t="s">
        <v>1302</v>
      </c>
      <c r="J166" t="s">
        <v>1139</v>
      </c>
      <c r="N166" s="64">
        <v>888356813939</v>
      </c>
      <c r="T166" s="17"/>
    </row>
    <row r="167" spans="1:23" hidden="1">
      <c r="A167">
        <v>214</v>
      </c>
      <c r="B167" t="s">
        <v>358</v>
      </c>
      <c r="C167">
        <v>2024</v>
      </c>
      <c r="D167" s="2">
        <v>45301</v>
      </c>
      <c r="E167" t="s">
        <v>1510</v>
      </c>
      <c r="H167" t="s">
        <v>1180</v>
      </c>
      <c r="I167" t="s">
        <v>973</v>
      </c>
      <c r="R167" t="s">
        <v>1171</v>
      </c>
      <c r="T167" s="17">
        <v>7701900</v>
      </c>
    </row>
    <row r="168" spans="1:23" hidden="1">
      <c r="A168">
        <v>223</v>
      </c>
      <c r="B168" t="s">
        <v>358</v>
      </c>
      <c r="C168">
        <v>2024</v>
      </c>
      <c r="D168" t="s">
        <v>1511</v>
      </c>
      <c r="E168" t="s">
        <v>1512</v>
      </c>
      <c r="G168" t="s">
        <v>1513</v>
      </c>
      <c r="H168" t="s">
        <v>1180</v>
      </c>
      <c r="I168" t="s">
        <v>48</v>
      </c>
      <c r="R168" t="s">
        <v>1171</v>
      </c>
      <c r="T168" s="17">
        <v>29000000</v>
      </c>
    </row>
    <row r="169" spans="1:23" hidden="1">
      <c r="A169">
        <v>226</v>
      </c>
      <c r="B169" t="s">
        <v>358</v>
      </c>
      <c r="C169">
        <v>2024</v>
      </c>
      <c r="D169" t="s">
        <v>1514</v>
      </c>
      <c r="E169" t="s">
        <v>1515</v>
      </c>
      <c r="H169" t="s">
        <v>1180</v>
      </c>
      <c r="I169" t="s">
        <v>973</v>
      </c>
      <c r="M169" s="76" t="s">
        <v>1516</v>
      </c>
      <c r="R169" t="s">
        <v>970</v>
      </c>
      <c r="T169" s="17">
        <v>1539200</v>
      </c>
    </row>
    <row r="170" spans="1:23" ht="30.75" hidden="1">
      <c r="A170">
        <v>227</v>
      </c>
      <c r="B170" t="s">
        <v>358</v>
      </c>
      <c r="C170">
        <v>2024</v>
      </c>
      <c r="D170" t="s">
        <v>1514</v>
      </c>
      <c r="E170" t="s">
        <v>1517</v>
      </c>
      <c r="H170" t="s">
        <v>1180</v>
      </c>
      <c r="I170" t="s">
        <v>973</v>
      </c>
      <c r="M170" s="78" t="s">
        <v>1518</v>
      </c>
      <c r="R170" t="s">
        <v>1171</v>
      </c>
      <c r="T170" s="17">
        <v>239923</v>
      </c>
    </row>
    <row r="171" spans="1:23" hidden="1">
      <c r="A171">
        <v>228</v>
      </c>
      <c r="B171" t="s">
        <v>358</v>
      </c>
      <c r="C171">
        <v>2024</v>
      </c>
      <c r="D171" t="s">
        <v>1514</v>
      </c>
      <c r="E171" t="s">
        <v>1519</v>
      </c>
      <c r="H171" t="s">
        <v>1180</v>
      </c>
      <c r="I171" t="s">
        <v>973</v>
      </c>
      <c r="M171" s="76" t="s">
        <v>1520</v>
      </c>
      <c r="R171" t="s">
        <v>1171</v>
      </c>
      <c r="T171" s="17">
        <v>2593500</v>
      </c>
    </row>
    <row r="172" spans="1:23" hidden="1">
      <c r="B172" t="s">
        <v>358</v>
      </c>
      <c r="C172">
        <v>2024</v>
      </c>
      <c r="D172" t="s">
        <v>1521</v>
      </c>
      <c r="E172" t="s">
        <v>1522</v>
      </c>
      <c r="F172" t="s">
        <v>355</v>
      </c>
      <c r="H172" t="s">
        <v>1135</v>
      </c>
      <c r="I172" t="s">
        <v>973</v>
      </c>
      <c r="M172" s="76" t="s">
        <v>1523</v>
      </c>
      <c r="N172" s="64">
        <v>1722292062</v>
      </c>
      <c r="O172">
        <v>1722421863</v>
      </c>
      <c r="R172" t="s">
        <v>970</v>
      </c>
      <c r="T172" s="17"/>
      <c r="W172" s="46" t="s">
        <v>971</v>
      </c>
    </row>
    <row r="173" spans="1:23" hidden="1">
      <c r="A173">
        <v>236</v>
      </c>
      <c r="B173" t="s">
        <v>384</v>
      </c>
      <c r="C173">
        <v>2024</v>
      </c>
      <c r="D173" s="2">
        <v>45393</v>
      </c>
      <c r="E173" t="s">
        <v>1524</v>
      </c>
      <c r="F173" t="s">
        <v>1525</v>
      </c>
      <c r="G173" t="s">
        <v>1526</v>
      </c>
      <c r="H173" t="s">
        <v>1180</v>
      </c>
      <c r="I173" t="s">
        <v>973</v>
      </c>
      <c r="J173" t="s">
        <v>1527</v>
      </c>
      <c r="N173" s="64">
        <v>1000339319</v>
      </c>
      <c r="R173" t="s">
        <v>1171</v>
      </c>
      <c r="T173" s="17"/>
    </row>
    <row r="174" spans="1:23" hidden="1">
      <c r="A174">
        <v>237</v>
      </c>
      <c r="B174" t="s">
        <v>384</v>
      </c>
      <c r="C174">
        <v>2024</v>
      </c>
      <c r="D174" s="2">
        <v>45393</v>
      </c>
      <c r="E174" t="s">
        <v>1524</v>
      </c>
      <c r="F174" t="s">
        <v>1525</v>
      </c>
      <c r="G174" t="s">
        <v>1528</v>
      </c>
      <c r="H174" t="s">
        <v>1180</v>
      </c>
      <c r="I174" t="s">
        <v>973</v>
      </c>
      <c r="J174" t="s">
        <v>968</v>
      </c>
      <c r="N174" s="64">
        <v>1722609191</v>
      </c>
      <c r="O174">
        <v>1723486514</v>
      </c>
      <c r="R174" t="s">
        <v>1171</v>
      </c>
      <c r="T174" s="17">
        <v>4053600</v>
      </c>
    </row>
    <row r="175" spans="1:23" ht="60.75" hidden="1">
      <c r="A175">
        <v>240</v>
      </c>
      <c r="B175" t="s">
        <v>384</v>
      </c>
      <c r="C175">
        <v>2024</v>
      </c>
      <c r="D175" s="2">
        <v>45423</v>
      </c>
      <c r="E175" t="s">
        <v>1529</v>
      </c>
      <c r="F175" t="s">
        <v>1530</v>
      </c>
      <c r="G175" t="s">
        <v>1531</v>
      </c>
      <c r="H175" t="s">
        <v>1180</v>
      </c>
      <c r="I175" t="s">
        <v>48</v>
      </c>
      <c r="J175" t="s">
        <v>968</v>
      </c>
      <c r="M175" s="44" t="s">
        <v>1532</v>
      </c>
      <c r="N175" s="72">
        <v>888164281438</v>
      </c>
      <c r="R175" t="s">
        <v>970</v>
      </c>
      <c r="T175" s="17">
        <v>3000000</v>
      </c>
      <c r="W175" s="46" t="s">
        <v>971</v>
      </c>
    </row>
    <row r="176" spans="1:23" ht="60.75" hidden="1">
      <c r="B176" t="s">
        <v>384</v>
      </c>
      <c r="C176">
        <v>2024</v>
      </c>
      <c r="D176" s="2">
        <v>45423</v>
      </c>
      <c r="E176" t="s">
        <v>1529</v>
      </c>
      <c r="F176" t="s">
        <v>1530</v>
      </c>
      <c r="G176" t="s">
        <v>1531</v>
      </c>
      <c r="H176" t="s">
        <v>1180</v>
      </c>
      <c r="I176" t="s">
        <v>48</v>
      </c>
      <c r="J176" t="s">
        <v>968</v>
      </c>
      <c r="M176" s="44" t="s">
        <v>1532</v>
      </c>
      <c r="N176" s="72">
        <v>888164281420</v>
      </c>
      <c r="R176" t="s">
        <v>970</v>
      </c>
      <c r="T176" s="17"/>
      <c r="W176" s="46" t="s">
        <v>971</v>
      </c>
    </row>
    <row r="177" spans="1:23" hidden="1">
      <c r="A177">
        <v>243</v>
      </c>
      <c r="B177" t="s">
        <v>384</v>
      </c>
      <c r="C177">
        <v>2024</v>
      </c>
      <c r="D177" t="s">
        <v>1533</v>
      </c>
      <c r="E177" t="s">
        <v>1534</v>
      </c>
      <c r="G177" t="s">
        <v>1535</v>
      </c>
      <c r="H177" t="s">
        <v>1180</v>
      </c>
      <c r="I177" t="s">
        <v>973</v>
      </c>
      <c r="J177" t="s">
        <v>968</v>
      </c>
      <c r="R177" t="s">
        <v>1171</v>
      </c>
      <c r="T177" s="17">
        <v>6412850</v>
      </c>
    </row>
    <row r="178" spans="1:23" hidden="1">
      <c r="A178">
        <v>244</v>
      </c>
      <c r="B178" t="s">
        <v>384</v>
      </c>
      <c r="C178">
        <v>2024</v>
      </c>
      <c r="D178" t="s">
        <v>1536</v>
      </c>
      <c r="E178" t="s">
        <v>1537</v>
      </c>
      <c r="F178" t="s">
        <v>1538</v>
      </c>
      <c r="G178" t="s">
        <v>1539</v>
      </c>
      <c r="H178" t="s">
        <v>1180</v>
      </c>
      <c r="I178" t="s">
        <v>48</v>
      </c>
      <c r="J178" t="s">
        <v>968</v>
      </c>
      <c r="M178" s="43" t="s">
        <v>1540</v>
      </c>
      <c r="N178" s="64" t="s">
        <v>1541</v>
      </c>
      <c r="R178" t="s">
        <v>970</v>
      </c>
      <c r="T178" s="17"/>
      <c r="W178" s="46" t="s">
        <v>971</v>
      </c>
    </row>
    <row r="179" spans="1:23" hidden="1">
      <c r="A179">
        <v>247</v>
      </c>
      <c r="B179" t="s">
        <v>384</v>
      </c>
      <c r="C179">
        <v>2024</v>
      </c>
      <c r="D179" t="s">
        <v>1536</v>
      </c>
      <c r="E179" t="s">
        <v>1542</v>
      </c>
      <c r="F179" t="s">
        <v>1543</v>
      </c>
      <c r="G179" t="s">
        <v>1544</v>
      </c>
      <c r="H179" t="s">
        <v>1180</v>
      </c>
      <c r="I179" t="s">
        <v>48</v>
      </c>
      <c r="J179" t="s">
        <v>968</v>
      </c>
      <c r="M179" s="43" t="s">
        <v>1545</v>
      </c>
      <c r="N179" s="64">
        <v>888200690471</v>
      </c>
      <c r="R179" t="s">
        <v>970</v>
      </c>
      <c r="T179" s="17"/>
      <c r="W179" s="46" t="s">
        <v>971</v>
      </c>
    </row>
    <row r="181" spans="1:23">
      <c r="A181">
        <v>262</v>
      </c>
      <c r="B181" t="s">
        <v>408</v>
      </c>
      <c r="C181">
        <v>2024</v>
      </c>
      <c r="D181" s="2">
        <v>45577</v>
      </c>
      <c r="E181" t="s">
        <v>1546</v>
      </c>
      <c r="F181" t="s">
        <v>1547</v>
      </c>
      <c r="G181" t="s">
        <v>1548</v>
      </c>
      <c r="H181" t="s">
        <v>1180</v>
      </c>
      <c r="I181" t="s">
        <v>973</v>
      </c>
      <c r="J181" t="s">
        <v>1119</v>
      </c>
      <c r="R181" t="s">
        <v>1171</v>
      </c>
      <c r="T181" s="17"/>
    </row>
    <row r="182" spans="1:23" ht="45.75">
      <c r="A182">
        <v>270</v>
      </c>
      <c r="B182" t="s">
        <v>408</v>
      </c>
      <c r="C182">
        <v>2024</v>
      </c>
      <c r="D182" s="2" t="s">
        <v>1207</v>
      </c>
      <c r="E182" s="12" t="s">
        <v>1549</v>
      </c>
      <c r="F182" s="54" t="s">
        <v>1550</v>
      </c>
      <c r="G182" s="12" t="s">
        <v>1551</v>
      </c>
      <c r="H182" t="s">
        <v>1180</v>
      </c>
      <c r="I182" t="s">
        <v>48</v>
      </c>
      <c r="J182" t="s">
        <v>968</v>
      </c>
      <c r="L182">
        <f ca="1">K182-TODAY()</f>
        <v>-46258</v>
      </c>
      <c r="M182" s="44" t="s">
        <v>1552</v>
      </c>
      <c r="R182" t="s">
        <v>970</v>
      </c>
      <c r="W182" s="46" t="s">
        <v>971</v>
      </c>
    </row>
    <row r="183" spans="1:23" ht="45.75">
      <c r="B183" t="s">
        <v>408</v>
      </c>
      <c r="C183">
        <v>2024</v>
      </c>
      <c r="D183" s="2" t="s">
        <v>1207</v>
      </c>
      <c r="E183" s="12" t="s">
        <v>1549</v>
      </c>
      <c r="F183" s="54" t="s">
        <v>1550</v>
      </c>
      <c r="G183" s="12" t="s">
        <v>1551</v>
      </c>
      <c r="H183" t="s">
        <v>1180</v>
      </c>
      <c r="I183" t="s">
        <v>48</v>
      </c>
      <c r="J183" t="s">
        <v>968</v>
      </c>
      <c r="L183">
        <f ca="1">K183-TODAY()</f>
        <v>-46258</v>
      </c>
      <c r="M183" s="44" t="s">
        <v>1552</v>
      </c>
      <c r="R183" t="s">
        <v>970</v>
      </c>
      <c r="W183" s="46" t="s">
        <v>971</v>
      </c>
    </row>
    <row r="184" spans="1:23">
      <c r="A184">
        <v>67</v>
      </c>
      <c r="B184" t="s">
        <v>144</v>
      </c>
      <c r="C184">
        <v>2024</v>
      </c>
      <c r="D184" s="2">
        <v>45377</v>
      </c>
      <c r="E184" t="s">
        <v>1553</v>
      </c>
      <c r="F184" t="s">
        <v>1554</v>
      </c>
      <c r="G184" t="s">
        <v>1555</v>
      </c>
      <c r="H184" t="s">
        <v>1556</v>
      </c>
      <c r="I184" t="s">
        <v>973</v>
      </c>
      <c r="J184" t="s">
        <v>968</v>
      </c>
      <c r="M184" t="s">
        <v>1557</v>
      </c>
      <c r="N184" s="64" t="s">
        <v>1558</v>
      </c>
      <c r="R184" t="s">
        <v>970</v>
      </c>
      <c r="T184" s="17">
        <v>108600000</v>
      </c>
    </row>
    <row r="185" spans="1:23">
      <c r="A185">
        <v>73</v>
      </c>
      <c r="B185" t="s">
        <v>183</v>
      </c>
      <c r="C185">
        <v>2024</v>
      </c>
      <c r="D185" s="2">
        <v>45389</v>
      </c>
      <c r="E185" t="s">
        <v>1559</v>
      </c>
      <c r="F185" t="s">
        <v>1560</v>
      </c>
      <c r="G185" t="s">
        <v>1561</v>
      </c>
      <c r="H185" t="s">
        <v>1556</v>
      </c>
      <c r="I185" t="s">
        <v>973</v>
      </c>
      <c r="J185" t="s">
        <v>968</v>
      </c>
      <c r="Q185" t="s">
        <v>1562</v>
      </c>
      <c r="R185" t="s">
        <v>970</v>
      </c>
      <c r="T185" s="17"/>
      <c r="V185" s="2"/>
    </row>
    <row r="186" spans="1:23">
      <c r="A186">
        <v>116</v>
      </c>
      <c r="B186" t="s">
        <v>261</v>
      </c>
      <c r="C186">
        <v>2024</v>
      </c>
      <c r="D186" s="2">
        <v>45452</v>
      </c>
      <c r="E186" t="s">
        <v>1563</v>
      </c>
      <c r="F186" t="s">
        <v>1564</v>
      </c>
      <c r="G186" t="s">
        <v>1565</v>
      </c>
      <c r="H186" t="s">
        <v>1556</v>
      </c>
      <c r="I186" t="s">
        <v>973</v>
      </c>
      <c r="J186" t="s">
        <v>968</v>
      </c>
      <c r="M186" t="s">
        <v>1566</v>
      </c>
      <c r="N186" s="64" t="s">
        <v>1567</v>
      </c>
      <c r="T186" s="17"/>
    </row>
    <row r="187" spans="1:23">
      <c r="A187">
        <v>122</v>
      </c>
      <c r="B187" t="s">
        <v>261</v>
      </c>
      <c r="C187">
        <v>2024</v>
      </c>
      <c r="D187" s="2">
        <v>45456</v>
      </c>
      <c r="E187" t="s">
        <v>1568</v>
      </c>
      <c r="F187" t="s">
        <v>1569</v>
      </c>
      <c r="G187" t="s">
        <v>1570</v>
      </c>
      <c r="H187" t="s">
        <v>1556</v>
      </c>
      <c r="I187" t="s">
        <v>973</v>
      </c>
      <c r="J187" t="s">
        <v>968</v>
      </c>
      <c r="M187" t="s">
        <v>1571</v>
      </c>
      <c r="N187" s="64">
        <v>1725119459</v>
      </c>
      <c r="O187">
        <v>1725119381</v>
      </c>
      <c r="R187" t="s">
        <v>970</v>
      </c>
      <c r="T187" s="17"/>
      <c r="W187" s="46" t="s">
        <v>971</v>
      </c>
    </row>
    <row r="188" spans="1:23">
      <c r="A188">
        <v>126</v>
      </c>
      <c r="B188" t="s">
        <v>261</v>
      </c>
      <c r="C188">
        <v>2024</v>
      </c>
      <c r="D188" s="2">
        <v>45456</v>
      </c>
      <c r="E188" t="s">
        <v>1378</v>
      </c>
      <c r="F188" t="s">
        <v>1379</v>
      </c>
      <c r="G188" t="s">
        <v>1380</v>
      </c>
      <c r="H188" t="s">
        <v>1556</v>
      </c>
      <c r="I188" t="s">
        <v>973</v>
      </c>
      <c r="J188" t="s">
        <v>968</v>
      </c>
      <c r="T188" s="17"/>
    </row>
    <row r="189" spans="1:23">
      <c r="A189">
        <v>127</v>
      </c>
      <c r="B189" t="s">
        <v>261</v>
      </c>
      <c r="C189">
        <v>2024</v>
      </c>
      <c r="D189" s="2">
        <v>45456</v>
      </c>
      <c r="E189" t="s">
        <v>1572</v>
      </c>
      <c r="F189" t="s">
        <v>1379</v>
      </c>
      <c r="G189" t="s">
        <v>1380</v>
      </c>
      <c r="H189" t="s">
        <v>1556</v>
      </c>
      <c r="I189" t="s">
        <v>973</v>
      </c>
      <c r="J189" t="s">
        <v>968</v>
      </c>
      <c r="T189" s="17"/>
    </row>
    <row r="190" spans="1:23">
      <c r="A190">
        <v>130</v>
      </c>
      <c r="B190" t="s">
        <v>261</v>
      </c>
      <c r="C190">
        <v>2024</v>
      </c>
      <c r="D190" s="2">
        <v>45459</v>
      </c>
      <c r="E190" t="s">
        <v>1573</v>
      </c>
      <c r="F190" t="s">
        <v>1564</v>
      </c>
      <c r="G190" t="s">
        <v>1574</v>
      </c>
      <c r="H190" t="s">
        <v>1556</v>
      </c>
      <c r="I190" t="s">
        <v>973</v>
      </c>
      <c r="J190" t="s">
        <v>968</v>
      </c>
      <c r="N190" s="64" t="s">
        <v>1567</v>
      </c>
      <c r="T190" s="17"/>
    </row>
    <row r="191" spans="1:23">
      <c r="A191">
        <v>134</v>
      </c>
      <c r="B191" t="s">
        <v>261</v>
      </c>
      <c r="C191">
        <v>2024</v>
      </c>
      <c r="D191" s="2">
        <v>45463</v>
      </c>
      <c r="E191" t="s">
        <v>1575</v>
      </c>
      <c r="F191" t="s">
        <v>1576</v>
      </c>
      <c r="H191" t="s">
        <v>1556</v>
      </c>
      <c r="I191" t="s">
        <v>973</v>
      </c>
      <c r="J191" t="s">
        <v>968</v>
      </c>
      <c r="M191" t="s">
        <v>1577</v>
      </c>
      <c r="N191" s="72">
        <v>1702827525</v>
      </c>
      <c r="O191">
        <v>1702819209</v>
      </c>
      <c r="T191" s="17"/>
      <c r="W191" s="46" t="s">
        <v>971</v>
      </c>
    </row>
    <row r="192" spans="1:23">
      <c r="B192" t="s">
        <v>261</v>
      </c>
      <c r="C192">
        <v>2024</v>
      </c>
      <c r="D192" s="2">
        <v>45463</v>
      </c>
      <c r="E192" t="s">
        <v>1578</v>
      </c>
      <c r="H192" t="s">
        <v>1556</v>
      </c>
      <c r="I192" t="s">
        <v>973</v>
      </c>
      <c r="J192" t="s">
        <v>968</v>
      </c>
      <c r="M192" t="s">
        <v>1579</v>
      </c>
      <c r="N192" s="72">
        <v>1215185718</v>
      </c>
      <c r="T192" s="17"/>
    </row>
    <row r="193" spans="1:23">
      <c r="A193">
        <v>136</v>
      </c>
      <c r="B193" t="s">
        <v>261</v>
      </c>
      <c r="C193">
        <v>2024</v>
      </c>
      <c r="D193" s="2">
        <v>45470</v>
      </c>
      <c r="E193" t="s">
        <v>1580</v>
      </c>
      <c r="F193" t="s">
        <v>1215</v>
      </c>
      <c r="G193" t="s">
        <v>1581</v>
      </c>
      <c r="H193" t="s">
        <v>1556</v>
      </c>
      <c r="I193" t="s">
        <v>973</v>
      </c>
      <c r="J193" t="s">
        <v>1119</v>
      </c>
      <c r="N193" s="64" t="s">
        <v>1582</v>
      </c>
      <c r="T193" s="17"/>
    </row>
    <row r="194" spans="1:23">
      <c r="A194">
        <v>138</v>
      </c>
      <c r="B194" t="s">
        <v>261</v>
      </c>
      <c r="C194">
        <v>2024</v>
      </c>
      <c r="D194" s="2">
        <v>45470</v>
      </c>
      <c r="E194" t="s">
        <v>1583</v>
      </c>
      <c r="F194" t="s">
        <v>1215</v>
      </c>
      <c r="G194" t="s">
        <v>1216</v>
      </c>
      <c r="H194" t="s">
        <v>1556</v>
      </c>
      <c r="I194" t="s">
        <v>973</v>
      </c>
      <c r="J194" t="s">
        <v>1119</v>
      </c>
      <c r="N194" s="64" t="s">
        <v>1217</v>
      </c>
      <c r="Q194" t="s">
        <v>1218</v>
      </c>
      <c r="T194" s="17"/>
    </row>
    <row r="195" spans="1:23">
      <c r="A195">
        <v>160</v>
      </c>
      <c r="B195" t="s">
        <v>274</v>
      </c>
      <c r="C195">
        <v>2024</v>
      </c>
      <c r="D195" s="34" t="s">
        <v>1430</v>
      </c>
      <c r="E195" t="s">
        <v>1584</v>
      </c>
      <c r="F195" t="s">
        <v>1585</v>
      </c>
      <c r="G195" t="s">
        <v>1586</v>
      </c>
      <c r="H195" t="s">
        <v>1556</v>
      </c>
      <c r="I195" t="s">
        <v>973</v>
      </c>
      <c r="J195" t="s">
        <v>968</v>
      </c>
      <c r="N195" s="64">
        <v>1725111684</v>
      </c>
      <c r="T195" s="17"/>
    </row>
    <row r="196" spans="1:23">
      <c r="A196">
        <v>163</v>
      </c>
      <c r="B196" t="s">
        <v>274</v>
      </c>
      <c r="C196">
        <v>2024</v>
      </c>
      <c r="D196" s="34" t="s">
        <v>1441</v>
      </c>
      <c r="E196" t="s">
        <v>1444</v>
      </c>
      <c r="H196" t="s">
        <v>1556</v>
      </c>
      <c r="I196" t="s">
        <v>973</v>
      </c>
      <c r="J196" t="s">
        <v>968</v>
      </c>
      <c r="T196" s="17">
        <v>384210277</v>
      </c>
    </row>
    <row r="197" spans="1:23">
      <c r="A197">
        <v>220</v>
      </c>
      <c r="B197" t="s">
        <v>358</v>
      </c>
      <c r="C197">
        <v>2024</v>
      </c>
      <c r="D197" s="2">
        <v>45545</v>
      </c>
      <c r="E197" t="s">
        <v>1587</v>
      </c>
      <c r="H197" t="s">
        <v>1556</v>
      </c>
      <c r="I197" t="s">
        <v>973</v>
      </c>
      <c r="R197" t="s">
        <v>1171</v>
      </c>
      <c r="T197" s="17"/>
    </row>
    <row r="198" spans="1:23">
      <c r="A198">
        <v>2</v>
      </c>
      <c r="B198" t="s">
        <v>23</v>
      </c>
      <c r="C198">
        <v>2024</v>
      </c>
      <c r="D198" s="2">
        <v>45294</v>
      </c>
      <c r="E198" t="s">
        <v>1588</v>
      </c>
      <c r="F198" t="s">
        <v>1589</v>
      </c>
      <c r="G198" t="s">
        <v>1590</v>
      </c>
      <c r="H198" t="s">
        <v>1364</v>
      </c>
      <c r="I198" t="s">
        <v>48</v>
      </c>
      <c r="J198" t="s">
        <v>968</v>
      </c>
      <c r="M198" t="s">
        <v>1591</v>
      </c>
      <c r="N198" s="64" t="s">
        <v>1592</v>
      </c>
      <c r="R198" t="s">
        <v>970</v>
      </c>
      <c r="T198" s="17">
        <v>1500000</v>
      </c>
      <c r="U198" t="s">
        <v>1593</v>
      </c>
      <c r="V198" s="2">
        <v>45295</v>
      </c>
    </row>
    <row r="199" spans="1:23">
      <c r="A199">
        <v>11</v>
      </c>
      <c r="B199" t="s">
        <v>23</v>
      </c>
      <c r="C199">
        <v>2024</v>
      </c>
      <c r="D199" s="2">
        <v>45307</v>
      </c>
      <c r="E199" t="s">
        <v>1594</v>
      </c>
      <c r="F199" t="s">
        <v>1595</v>
      </c>
      <c r="G199" t="s">
        <v>1596</v>
      </c>
      <c r="H199" t="s">
        <v>985</v>
      </c>
      <c r="I199" t="s">
        <v>48</v>
      </c>
      <c r="J199" t="s">
        <v>968</v>
      </c>
      <c r="M199" t="s">
        <v>1597</v>
      </c>
      <c r="N199" s="64" t="s">
        <v>1598</v>
      </c>
      <c r="R199" t="s">
        <v>970</v>
      </c>
      <c r="T199" s="17">
        <v>1500000</v>
      </c>
      <c r="U199" t="s">
        <v>1599</v>
      </c>
      <c r="V199" s="2">
        <v>45310</v>
      </c>
    </row>
    <row r="200" spans="1:23">
      <c r="A200">
        <v>12</v>
      </c>
      <c r="B200" t="s">
        <v>23</v>
      </c>
      <c r="C200">
        <v>2024</v>
      </c>
      <c r="D200" s="2">
        <v>45307</v>
      </c>
      <c r="E200" t="s">
        <v>1600</v>
      </c>
      <c r="F200" t="s">
        <v>46</v>
      </c>
      <c r="G200" t="s">
        <v>1601</v>
      </c>
      <c r="H200" t="s">
        <v>985</v>
      </c>
      <c r="I200" t="s">
        <v>48</v>
      </c>
      <c r="J200" t="s">
        <v>968</v>
      </c>
      <c r="M200" t="s">
        <v>1602</v>
      </c>
      <c r="N200" s="64" t="s">
        <v>1603</v>
      </c>
      <c r="R200" t="s">
        <v>970</v>
      </c>
      <c r="T200" s="17">
        <v>1500000</v>
      </c>
      <c r="U200" t="s">
        <v>1604</v>
      </c>
      <c r="V200" s="2">
        <v>45309</v>
      </c>
    </row>
    <row r="201" spans="1:23">
      <c r="A201">
        <v>13</v>
      </c>
      <c r="B201" t="s">
        <v>23</v>
      </c>
      <c r="C201">
        <v>2024</v>
      </c>
      <c r="D201" s="2">
        <v>45307</v>
      </c>
      <c r="E201" t="s">
        <v>1605</v>
      </c>
      <c r="F201" t="s">
        <v>1004</v>
      </c>
      <c r="G201" t="s">
        <v>1606</v>
      </c>
      <c r="H201" t="s">
        <v>985</v>
      </c>
      <c r="I201" t="s">
        <v>48</v>
      </c>
      <c r="J201" t="s">
        <v>968</v>
      </c>
      <c r="N201" s="64">
        <v>7000176004</v>
      </c>
      <c r="R201" t="s">
        <v>970</v>
      </c>
      <c r="T201" s="17">
        <v>1500000</v>
      </c>
      <c r="U201" t="s">
        <v>1007</v>
      </c>
      <c r="V201" s="2">
        <v>45324</v>
      </c>
    </row>
    <row r="202" spans="1:23">
      <c r="A202">
        <v>14</v>
      </c>
      <c r="B202" t="s">
        <v>23</v>
      </c>
      <c r="C202">
        <v>2024</v>
      </c>
      <c r="D202" s="2">
        <v>45308</v>
      </c>
      <c r="E202" t="s">
        <v>1607</v>
      </c>
      <c r="F202" t="s">
        <v>1608</v>
      </c>
      <c r="G202" t="s">
        <v>1609</v>
      </c>
      <c r="H202" t="s">
        <v>985</v>
      </c>
      <c r="I202" t="s">
        <v>48</v>
      </c>
      <c r="J202" t="s">
        <v>968</v>
      </c>
      <c r="M202" t="s">
        <v>1610</v>
      </c>
      <c r="N202" s="64" t="s">
        <v>1611</v>
      </c>
      <c r="R202" t="s">
        <v>970</v>
      </c>
      <c r="T202" s="17">
        <v>5697500</v>
      </c>
      <c r="U202" t="s">
        <v>1612</v>
      </c>
      <c r="V202" s="2">
        <v>45309</v>
      </c>
    </row>
    <row r="203" spans="1:23">
      <c r="A203">
        <v>17</v>
      </c>
      <c r="B203" t="s">
        <v>23</v>
      </c>
      <c r="C203">
        <v>2024</v>
      </c>
      <c r="D203" s="2">
        <v>45309</v>
      </c>
      <c r="E203" t="s">
        <v>1613</v>
      </c>
      <c r="F203" t="s">
        <v>62</v>
      </c>
      <c r="G203" t="s">
        <v>1614</v>
      </c>
      <c r="H203" t="s">
        <v>985</v>
      </c>
      <c r="I203" t="s">
        <v>48</v>
      </c>
      <c r="J203" t="s">
        <v>968</v>
      </c>
      <c r="N203" s="64" t="s">
        <v>1615</v>
      </c>
      <c r="R203" t="s">
        <v>970</v>
      </c>
      <c r="T203" s="17">
        <v>1500000</v>
      </c>
    </row>
    <row r="204" spans="1:23">
      <c r="A204">
        <v>19</v>
      </c>
      <c r="B204" t="s">
        <v>23</v>
      </c>
      <c r="C204">
        <v>2024</v>
      </c>
      <c r="D204" s="2">
        <v>45313</v>
      </c>
      <c r="E204" t="s">
        <v>1616</v>
      </c>
      <c r="F204" t="s">
        <v>1617</v>
      </c>
      <c r="G204" t="s">
        <v>1618</v>
      </c>
      <c r="H204" t="s">
        <v>985</v>
      </c>
      <c r="I204" t="s">
        <v>48</v>
      </c>
      <c r="J204" t="s">
        <v>968</v>
      </c>
      <c r="M204" t="s">
        <v>1619</v>
      </c>
      <c r="N204" s="64" t="s">
        <v>1620</v>
      </c>
      <c r="R204" t="s">
        <v>970</v>
      </c>
      <c r="T204" s="17">
        <v>1500000</v>
      </c>
      <c r="U204" t="s">
        <v>1621</v>
      </c>
      <c r="V204" s="2">
        <v>45315</v>
      </c>
    </row>
    <row r="205" spans="1:23">
      <c r="A205">
        <v>23</v>
      </c>
      <c r="B205" t="s">
        <v>23</v>
      </c>
      <c r="C205">
        <v>2024</v>
      </c>
      <c r="D205" s="2">
        <v>45314</v>
      </c>
      <c r="F205" t="s">
        <v>1622</v>
      </c>
      <c r="G205" t="s">
        <v>1623</v>
      </c>
      <c r="H205" t="s">
        <v>985</v>
      </c>
      <c r="I205" t="s">
        <v>48</v>
      </c>
      <c r="J205" t="s">
        <v>968</v>
      </c>
      <c r="M205" t="s">
        <v>1624</v>
      </c>
      <c r="N205" s="64" t="s">
        <v>1625</v>
      </c>
      <c r="R205" t="s">
        <v>970</v>
      </c>
      <c r="T205" s="17"/>
      <c r="U205" t="s">
        <v>1626</v>
      </c>
      <c r="V205" s="2">
        <v>45323</v>
      </c>
    </row>
    <row r="206" spans="1:23">
      <c r="A206">
        <v>24</v>
      </c>
      <c r="B206" t="s">
        <v>23</v>
      </c>
      <c r="C206">
        <v>2024</v>
      </c>
      <c r="D206" s="2">
        <v>45314</v>
      </c>
      <c r="E206" t="s">
        <v>1627</v>
      </c>
      <c r="F206" t="s">
        <v>52</v>
      </c>
      <c r="G206" t="s">
        <v>1628</v>
      </c>
      <c r="H206" t="s">
        <v>985</v>
      </c>
      <c r="I206" t="s">
        <v>48</v>
      </c>
      <c r="J206" t="s">
        <v>968</v>
      </c>
      <c r="M206" t="s">
        <v>1629</v>
      </c>
      <c r="N206" s="64" t="s">
        <v>1630</v>
      </c>
      <c r="R206" t="s">
        <v>970</v>
      </c>
      <c r="T206" s="17">
        <v>1500000</v>
      </c>
      <c r="U206" t="s">
        <v>1631</v>
      </c>
      <c r="V206" s="2">
        <v>45323</v>
      </c>
    </row>
    <row r="207" spans="1:23">
      <c r="B207" t="s">
        <v>23</v>
      </c>
      <c r="C207">
        <v>2024</v>
      </c>
      <c r="D207" s="2">
        <v>45321</v>
      </c>
      <c r="E207" t="s">
        <v>1632</v>
      </c>
      <c r="H207" t="s">
        <v>1633</v>
      </c>
      <c r="I207" t="s">
        <v>973</v>
      </c>
      <c r="J207" t="s">
        <v>968</v>
      </c>
      <c r="M207" t="s">
        <v>1634</v>
      </c>
      <c r="N207" s="64">
        <v>1917320901</v>
      </c>
      <c r="R207" t="s">
        <v>970</v>
      </c>
      <c r="T207" s="17"/>
      <c r="V207" s="2">
        <v>45321</v>
      </c>
      <c r="W207" s="46" t="s">
        <v>971</v>
      </c>
    </row>
    <row r="208" spans="1:23">
      <c r="A208">
        <v>32</v>
      </c>
      <c r="B208" t="s">
        <v>96</v>
      </c>
      <c r="C208">
        <v>2024</v>
      </c>
      <c r="D208" s="2">
        <v>45323</v>
      </c>
      <c r="E208" t="s">
        <v>1635</v>
      </c>
      <c r="F208" t="s">
        <v>1013</v>
      </c>
      <c r="G208" t="s">
        <v>1014</v>
      </c>
      <c r="H208" t="s">
        <v>985</v>
      </c>
      <c r="I208" t="s">
        <v>48</v>
      </c>
      <c r="J208" t="s">
        <v>968</v>
      </c>
      <c r="M208" t="s">
        <v>1015</v>
      </c>
      <c r="N208" s="64" t="s">
        <v>1636</v>
      </c>
      <c r="R208" t="s">
        <v>970</v>
      </c>
      <c r="T208" s="17">
        <v>1500000</v>
      </c>
      <c r="V208" s="2"/>
    </row>
    <row r="209" spans="1:23">
      <c r="B209" t="s">
        <v>96</v>
      </c>
      <c r="C209">
        <v>2024</v>
      </c>
      <c r="D209" s="2">
        <v>45344</v>
      </c>
      <c r="E209" t="s">
        <v>1637</v>
      </c>
      <c r="H209" t="s">
        <v>1633</v>
      </c>
      <c r="I209" t="s">
        <v>973</v>
      </c>
      <c r="J209" t="s">
        <v>968</v>
      </c>
      <c r="M209" t="s">
        <v>1638</v>
      </c>
      <c r="N209" s="64">
        <v>1926716689</v>
      </c>
      <c r="O209">
        <v>1927098885</v>
      </c>
      <c r="T209" s="17"/>
      <c r="V209" s="2">
        <v>45344</v>
      </c>
      <c r="W209" s="46" t="s">
        <v>971</v>
      </c>
    </row>
    <row r="210" spans="1:23">
      <c r="A210">
        <v>55</v>
      </c>
      <c r="B210" t="s">
        <v>144</v>
      </c>
      <c r="C210">
        <v>2024</v>
      </c>
      <c r="D210" s="2">
        <v>45359</v>
      </c>
      <c r="E210" t="s">
        <v>1639</v>
      </c>
      <c r="F210" t="s">
        <v>148</v>
      </c>
      <c r="G210" t="s">
        <v>1640</v>
      </c>
      <c r="H210" t="s">
        <v>985</v>
      </c>
      <c r="I210" t="s">
        <v>48</v>
      </c>
      <c r="J210" t="s">
        <v>968</v>
      </c>
      <c r="N210" s="64" t="s">
        <v>1641</v>
      </c>
      <c r="R210" t="s">
        <v>970</v>
      </c>
      <c r="T210" s="17">
        <v>1500000</v>
      </c>
    </row>
    <row r="211" spans="1:23">
      <c r="A211">
        <v>56</v>
      </c>
      <c r="B211" t="s">
        <v>144</v>
      </c>
      <c r="C211">
        <v>2024</v>
      </c>
      <c r="D211" s="2">
        <v>45359</v>
      </c>
      <c r="E211" t="s">
        <v>1642</v>
      </c>
      <c r="F211" t="s">
        <v>151</v>
      </c>
      <c r="G211" t="s">
        <v>1643</v>
      </c>
      <c r="H211" t="s">
        <v>985</v>
      </c>
      <c r="I211" t="s">
        <v>48</v>
      </c>
      <c r="J211" t="s">
        <v>968</v>
      </c>
      <c r="R211" t="s">
        <v>970</v>
      </c>
      <c r="T211" s="17"/>
    </row>
    <row r="212" spans="1:23">
      <c r="A212">
        <v>80</v>
      </c>
      <c r="B212" t="s">
        <v>183</v>
      </c>
      <c r="C212">
        <v>2024</v>
      </c>
      <c r="D212" s="2">
        <v>45406</v>
      </c>
      <c r="E212" t="s">
        <v>1644</v>
      </c>
      <c r="F212" t="s">
        <v>70</v>
      </c>
      <c r="G212" t="s">
        <v>1645</v>
      </c>
      <c r="H212" t="s">
        <v>985</v>
      </c>
      <c r="I212" t="s">
        <v>48</v>
      </c>
      <c r="J212" t="s">
        <v>968</v>
      </c>
      <c r="M212" t="s">
        <v>1646</v>
      </c>
      <c r="N212" s="64" t="s">
        <v>1647</v>
      </c>
      <c r="R212" t="s">
        <v>970</v>
      </c>
      <c r="T212" s="17">
        <v>1500000</v>
      </c>
      <c r="U212" t="s">
        <v>1648</v>
      </c>
      <c r="V212" s="2">
        <v>45415</v>
      </c>
    </row>
    <row r="213" spans="1:23">
      <c r="A213">
        <v>89</v>
      </c>
      <c r="B213" t="s">
        <v>212</v>
      </c>
      <c r="C213">
        <v>2024</v>
      </c>
      <c r="D213" s="2">
        <v>45419</v>
      </c>
      <c r="E213" t="s">
        <v>1649</v>
      </c>
      <c r="F213" t="s">
        <v>204</v>
      </c>
      <c r="G213" t="s">
        <v>1650</v>
      </c>
      <c r="H213" t="s">
        <v>985</v>
      </c>
      <c r="I213" t="s">
        <v>48</v>
      </c>
      <c r="J213" t="s">
        <v>968</v>
      </c>
      <c r="N213" s="64" t="s">
        <v>1651</v>
      </c>
      <c r="R213" t="s">
        <v>970</v>
      </c>
      <c r="T213" s="17"/>
    </row>
    <row r="214" spans="1:23">
      <c r="A214">
        <v>91</v>
      </c>
      <c r="B214" t="s">
        <v>212</v>
      </c>
      <c r="C214">
        <v>2024</v>
      </c>
      <c r="D214" s="2">
        <v>45426</v>
      </c>
      <c r="E214" t="s">
        <v>1652</v>
      </c>
      <c r="F214" t="s">
        <v>95</v>
      </c>
      <c r="G214" t="s">
        <v>1653</v>
      </c>
      <c r="H214" t="s">
        <v>985</v>
      </c>
      <c r="I214" t="s">
        <v>1654</v>
      </c>
      <c r="J214" t="s">
        <v>968</v>
      </c>
      <c r="M214" t="s">
        <v>1655</v>
      </c>
      <c r="N214" s="64" t="s">
        <v>1656</v>
      </c>
      <c r="R214" t="s">
        <v>970</v>
      </c>
      <c r="T214" s="17"/>
    </row>
    <row r="215" spans="1:23">
      <c r="A215">
        <v>102</v>
      </c>
      <c r="B215" t="s">
        <v>212</v>
      </c>
      <c r="C215">
        <v>2024</v>
      </c>
      <c r="D215" s="2">
        <v>45434</v>
      </c>
      <c r="E215" t="s">
        <v>1657</v>
      </c>
      <c r="F215" t="s">
        <v>222</v>
      </c>
      <c r="G215" t="s">
        <v>1658</v>
      </c>
      <c r="H215" t="s">
        <v>985</v>
      </c>
      <c r="I215" t="s">
        <v>48</v>
      </c>
      <c r="J215" t="s">
        <v>968</v>
      </c>
      <c r="M215" t="s">
        <v>1659</v>
      </c>
      <c r="N215" s="64" t="s">
        <v>1660</v>
      </c>
      <c r="Q215" t="s">
        <v>1661</v>
      </c>
      <c r="R215" t="s">
        <v>970</v>
      </c>
      <c r="T215" s="17"/>
      <c r="W215" s="46" t="s">
        <v>971</v>
      </c>
    </row>
    <row r="216" spans="1:23">
      <c r="A216">
        <v>104</v>
      </c>
      <c r="B216" t="s">
        <v>212</v>
      </c>
      <c r="C216">
        <v>2024</v>
      </c>
      <c r="D216" s="2">
        <v>45439</v>
      </c>
      <c r="E216" t="s">
        <v>1662</v>
      </c>
      <c r="F216" t="s">
        <v>1663</v>
      </c>
      <c r="G216" t="s">
        <v>1664</v>
      </c>
      <c r="H216" t="s">
        <v>985</v>
      </c>
      <c r="I216" t="s">
        <v>48</v>
      </c>
      <c r="J216" t="s">
        <v>968</v>
      </c>
      <c r="N216" s="64" t="s">
        <v>1665</v>
      </c>
      <c r="R216" t="s">
        <v>970</v>
      </c>
      <c r="T216" s="17"/>
    </row>
    <row r="217" spans="1:23">
      <c r="A217">
        <v>165</v>
      </c>
      <c r="B217" t="s">
        <v>274</v>
      </c>
      <c r="C217">
        <v>2024</v>
      </c>
      <c r="D217" s="34" t="s">
        <v>1089</v>
      </c>
      <c r="E217" t="s">
        <v>1666</v>
      </c>
      <c r="F217" t="s">
        <v>121</v>
      </c>
      <c r="G217" t="s">
        <v>1667</v>
      </c>
      <c r="H217" t="s">
        <v>985</v>
      </c>
      <c r="I217" t="s">
        <v>48</v>
      </c>
      <c r="J217" t="s">
        <v>968</v>
      </c>
      <c r="M217" t="s">
        <v>1668</v>
      </c>
      <c r="N217" s="64" t="s">
        <v>1669</v>
      </c>
      <c r="T217" s="17"/>
    </row>
    <row r="218" spans="1:23">
      <c r="A218">
        <v>195</v>
      </c>
      <c r="B218" t="s">
        <v>303</v>
      </c>
      <c r="C218">
        <v>2024</v>
      </c>
      <c r="D218" t="s">
        <v>1670</v>
      </c>
      <c r="E218" t="s">
        <v>1671</v>
      </c>
      <c r="F218" t="s">
        <v>302</v>
      </c>
      <c r="G218" t="s">
        <v>1672</v>
      </c>
      <c r="H218" t="s">
        <v>985</v>
      </c>
      <c r="I218" t="s">
        <v>48</v>
      </c>
      <c r="J218" t="s">
        <v>968</v>
      </c>
      <c r="M218" t="s">
        <v>1673</v>
      </c>
      <c r="N218" s="64" t="s">
        <v>1674</v>
      </c>
      <c r="T218" s="17"/>
    </row>
    <row r="219" spans="1:23">
      <c r="A219">
        <v>196</v>
      </c>
      <c r="B219" t="s">
        <v>303</v>
      </c>
      <c r="C219">
        <v>2024</v>
      </c>
      <c r="D219" s="2" t="s">
        <v>1675</v>
      </c>
      <c r="E219" t="s">
        <v>1676</v>
      </c>
      <c r="F219" t="s">
        <v>273</v>
      </c>
      <c r="G219" t="s">
        <v>1677</v>
      </c>
      <c r="H219" t="s">
        <v>985</v>
      </c>
      <c r="I219" t="s">
        <v>48</v>
      </c>
      <c r="J219" t="s">
        <v>968</v>
      </c>
      <c r="M219" t="s">
        <v>1678</v>
      </c>
      <c r="N219" s="64" t="s">
        <v>1679</v>
      </c>
      <c r="T219" s="17"/>
    </row>
    <row r="220" spans="1:23">
      <c r="A220">
        <v>198</v>
      </c>
      <c r="B220" t="s">
        <v>338</v>
      </c>
      <c r="C220">
        <v>2024</v>
      </c>
      <c r="D220" s="2">
        <v>45391</v>
      </c>
      <c r="E220" t="s">
        <v>1680</v>
      </c>
      <c r="F220" t="s">
        <v>265</v>
      </c>
      <c r="G220" t="s">
        <v>1681</v>
      </c>
      <c r="H220" t="s">
        <v>985</v>
      </c>
      <c r="I220" t="s">
        <v>48</v>
      </c>
      <c r="J220" t="s">
        <v>1139</v>
      </c>
      <c r="N220" s="64" t="s">
        <v>1682</v>
      </c>
      <c r="T220" s="17"/>
    </row>
    <row r="221" spans="1:23">
      <c r="A221">
        <v>232</v>
      </c>
      <c r="B221" t="s">
        <v>358</v>
      </c>
      <c r="C221">
        <v>2024</v>
      </c>
      <c r="D221" t="s">
        <v>1683</v>
      </c>
      <c r="E221" t="s">
        <v>1684</v>
      </c>
      <c r="F221" t="s">
        <v>1685</v>
      </c>
      <c r="G221" t="s">
        <v>1686</v>
      </c>
      <c r="H221" t="s">
        <v>985</v>
      </c>
      <c r="I221" t="s">
        <v>48</v>
      </c>
      <c r="J221" t="s">
        <v>968</v>
      </c>
      <c r="N221" s="64" t="s">
        <v>1687</v>
      </c>
      <c r="R221" t="s">
        <v>1171</v>
      </c>
      <c r="T221" s="17"/>
    </row>
    <row r="222" spans="1:23" ht="24">
      <c r="A222">
        <v>263</v>
      </c>
      <c r="B222" t="s">
        <v>408</v>
      </c>
      <c r="C222">
        <v>2024</v>
      </c>
      <c r="D222" s="2" t="s">
        <v>1688</v>
      </c>
      <c r="E222" s="89" t="s">
        <v>1689</v>
      </c>
      <c r="F222" s="47" t="s">
        <v>1690</v>
      </c>
      <c r="G222" t="s">
        <v>1691</v>
      </c>
      <c r="H222" t="s">
        <v>985</v>
      </c>
      <c r="I222" t="s">
        <v>48</v>
      </c>
      <c r="J222" t="s">
        <v>968</v>
      </c>
      <c r="M222" s="48" t="s">
        <v>1692</v>
      </c>
      <c r="N222" s="64" t="s">
        <v>1693</v>
      </c>
      <c r="R222" t="s">
        <v>32</v>
      </c>
      <c r="T222" s="17"/>
      <c r="V222" t="s">
        <v>1694</v>
      </c>
      <c r="W222" s="46" t="s">
        <v>971</v>
      </c>
    </row>
    <row r="223" spans="1:23">
      <c r="A223">
        <v>8</v>
      </c>
      <c r="B223" t="s">
        <v>23</v>
      </c>
      <c r="C223">
        <v>2024</v>
      </c>
      <c r="D223" s="2">
        <v>45301</v>
      </c>
      <c r="E223" t="s">
        <v>1695</v>
      </c>
      <c r="F223" t="s">
        <v>1696</v>
      </c>
      <c r="G223" t="s">
        <v>1697</v>
      </c>
      <c r="H223" t="s">
        <v>1633</v>
      </c>
      <c r="I223" t="s">
        <v>973</v>
      </c>
      <c r="J223" t="s">
        <v>968</v>
      </c>
      <c r="M223" t="s">
        <v>1698</v>
      </c>
      <c r="N223" s="64" t="s">
        <v>1699</v>
      </c>
      <c r="R223" t="s">
        <v>970</v>
      </c>
      <c r="T223" s="17">
        <v>903000</v>
      </c>
      <c r="U223" t="s">
        <v>1700</v>
      </c>
      <c r="V223" s="2">
        <v>45303</v>
      </c>
    </row>
    <row r="224" spans="1:23">
      <c r="A224">
        <v>9</v>
      </c>
      <c r="B224" t="s">
        <v>23</v>
      </c>
      <c r="C224">
        <v>2024</v>
      </c>
      <c r="D224" s="2">
        <v>45302</v>
      </c>
      <c r="E224" t="s">
        <v>1701</v>
      </c>
      <c r="F224" t="s">
        <v>56</v>
      </c>
      <c r="G224" t="s">
        <v>1702</v>
      </c>
      <c r="H224" t="s">
        <v>1633</v>
      </c>
      <c r="I224" t="s">
        <v>973</v>
      </c>
      <c r="J224" t="s">
        <v>968</v>
      </c>
      <c r="M224" t="s">
        <v>1703</v>
      </c>
      <c r="N224" s="64" t="s">
        <v>1704</v>
      </c>
      <c r="R224" t="s">
        <v>970</v>
      </c>
      <c r="T224" s="17">
        <v>10016067</v>
      </c>
      <c r="U224" t="s">
        <v>1705</v>
      </c>
      <c r="V224" s="2">
        <v>45307</v>
      </c>
    </row>
    <row r="225" spans="1:23">
      <c r="A225">
        <v>18</v>
      </c>
      <c r="B225" t="s">
        <v>23</v>
      </c>
      <c r="C225">
        <v>2024</v>
      </c>
      <c r="D225" s="2">
        <v>45313</v>
      </c>
      <c r="E225" t="s">
        <v>1706</v>
      </c>
      <c r="F225" t="s">
        <v>65</v>
      </c>
      <c r="G225" t="s">
        <v>1707</v>
      </c>
      <c r="H225" t="s">
        <v>1633</v>
      </c>
      <c r="I225" t="s">
        <v>973</v>
      </c>
      <c r="J225" t="s">
        <v>968</v>
      </c>
      <c r="M225" t="s">
        <v>1708</v>
      </c>
      <c r="N225" s="64" t="s">
        <v>1709</v>
      </c>
      <c r="R225" t="s">
        <v>970</v>
      </c>
      <c r="T225" s="17">
        <v>1668000</v>
      </c>
      <c r="U225" t="s">
        <v>1710</v>
      </c>
      <c r="V225" s="2">
        <v>45334</v>
      </c>
    </row>
    <row r="226" spans="1:23">
      <c r="A226">
        <v>20</v>
      </c>
      <c r="B226" t="s">
        <v>23</v>
      </c>
      <c r="C226">
        <v>2024</v>
      </c>
      <c r="D226" s="2">
        <v>45314</v>
      </c>
      <c r="E226" t="s">
        <v>1711</v>
      </c>
      <c r="F226" t="s">
        <v>1712</v>
      </c>
      <c r="G226" t="s">
        <v>1713</v>
      </c>
      <c r="H226" t="s">
        <v>1633</v>
      </c>
      <c r="I226" t="s">
        <v>973</v>
      </c>
      <c r="J226" t="s">
        <v>968</v>
      </c>
      <c r="M226" t="s">
        <v>1714</v>
      </c>
      <c r="R226" t="s">
        <v>970</v>
      </c>
      <c r="T226" s="17"/>
      <c r="U226" t="s">
        <v>1715</v>
      </c>
      <c r="V226" s="2">
        <v>45321</v>
      </c>
    </row>
    <row r="227" spans="1:23">
      <c r="A227">
        <v>21</v>
      </c>
      <c r="B227" t="s">
        <v>23</v>
      </c>
      <c r="C227">
        <v>2024</v>
      </c>
      <c r="D227" s="2">
        <v>45314</v>
      </c>
      <c r="E227" t="s">
        <v>1716</v>
      </c>
      <c r="F227" t="s">
        <v>1717</v>
      </c>
      <c r="G227" t="s">
        <v>1718</v>
      </c>
      <c r="H227" t="s">
        <v>1633</v>
      </c>
      <c r="I227" t="s">
        <v>973</v>
      </c>
      <c r="J227" t="s">
        <v>968</v>
      </c>
      <c r="M227" t="s">
        <v>1719</v>
      </c>
      <c r="N227" s="64" t="s">
        <v>1720</v>
      </c>
      <c r="R227" t="s">
        <v>970</v>
      </c>
      <c r="T227" s="17">
        <v>23686000</v>
      </c>
    </row>
    <row r="228" spans="1:23">
      <c r="A228">
        <v>22</v>
      </c>
      <c r="B228" t="s">
        <v>23</v>
      </c>
      <c r="C228">
        <v>2024</v>
      </c>
      <c r="D228" s="2">
        <v>45314</v>
      </c>
      <c r="E228" t="s">
        <v>1721</v>
      </c>
      <c r="G228" t="s">
        <v>1722</v>
      </c>
      <c r="H228" t="s">
        <v>1633</v>
      </c>
      <c r="I228" t="s">
        <v>973</v>
      </c>
      <c r="J228" t="s">
        <v>968</v>
      </c>
      <c r="M228" t="s">
        <v>1723</v>
      </c>
      <c r="N228" s="64" t="s">
        <v>1724</v>
      </c>
      <c r="R228" t="s">
        <v>970</v>
      </c>
      <c r="T228" s="17">
        <v>2879500</v>
      </c>
      <c r="U228" t="s">
        <v>1725</v>
      </c>
      <c r="V228" s="2">
        <v>45355</v>
      </c>
      <c r="W228" s="46" t="s">
        <v>971</v>
      </c>
    </row>
    <row r="229" spans="1:23">
      <c r="A229">
        <v>26</v>
      </c>
      <c r="B229" t="s">
        <v>23</v>
      </c>
      <c r="C229">
        <v>2024</v>
      </c>
      <c r="D229" s="2">
        <v>45317</v>
      </c>
      <c r="E229" t="s">
        <v>1726</v>
      </c>
      <c r="F229" t="s">
        <v>70</v>
      </c>
      <c r="G229" t="s">
        <v>1727</v>
      </c>
      <c r="H229" t="s">
        <v>1633</v>
      </c>
      <c r="I229" t="s">
        <v>973</v>
      </c>
      <c r="J229" t="s">
        <v>968</v>
      </c>
      <c r="M229" t="s">
        <v>1728</v>
      </c>
      <c r="N229" s="64">
        <v>1927250987</v>
      </c>
      <c r="O229">
        <v>1925380859</v>
      </c>
      <c r="R229" t="s">
        <v>970</v>
      </c>
      <c r="T229" s="17">
        <v>2500000</v>
      </c>
      <c r="V229" s="2">
        <v>45348</v>
      </c>
      <c r="W229" s="46" t="s">
        <v>971</v>
      </c>
    </row>
    <row r="230" spans="1:23">
      <c r="A230">
        <v>27</v>
      </c>
      <c r="B230" t="s">
        <v>23</v>
      </c>
      <c r="C230">
        <v>2024</v>
      </c>
      <c r="D230" s="2">
        <v>45317</v>
      </c>
      <c r="E230" t="s">
        <v>1729</v>
      </c>
      <c r="F230" t="s">
        <v>1730</v>
      </c>
      <c r="G230" t="s">
        <v>1731</v>
      </c>
      <c r="H230" t="s">
        <v>1633</v>
      </c>
      <c r="I230" t="s">
        <v>973</v>
      </c>
      <c r="J230" t="s">
        <v>968</v>
      </c>
      <c r="M230" t="s">
        <v>1732</v>
      </c>
      <c r="Q230" t="s">
        <v>1733</v>
      </c>
      <c r="R230" t="s">
        <v>970</v>
      </c>
      <c r="T230" s="17">
        <v>0</v>
      </c>
    </row>
    <row r="231" spans="1:23">
      <c r="A231">
        <v>31</v>
      </c>
      <c r="B231" t="s">
        <v>96</v>
      </c>
      <c r="C231">
        <v>2024</v>
      </c>
      <c r="D231" s="2">
        <v>45323</v>
      </c>
      <c r="E231" t="s">
        <v>1734</v>
      </c>
      <c r="F231" t="s">
        <v>80</v>
      </c>
      <c r="G231" t="s">
        <v>1009</v>
      </c>
      <c r="H231" t="s">
        <v>1633</v>
      </c>
      <c r="I231" t="s">
        <v>973</v>
      </c>
      <c r="J231" t="s">
        <v>968</v>
      </c>
      <c r="M231" t="s">
        <v>1735</v>
      </c>
      <c r="N231" s="64" t="s">
        <v>1736</v>
      </c>
      <c r="R231" t="s">
        <v>970</v>
      </c>
      <c r="T231" s="17">
        <v>2368800</v>
      </c>
      <c r="W231" s="46" t="s">
        <v>971</v>
      </c>
    </row>
    <row r="232" spans="1:23">
      <c r="A232">
        <v>35</v>
      </c>
      <c r="B232" t="s">
        <v>96</v>
      </c>
      <c r="C232">
        <v>2024</v>
      </c>
      <c r="D232" s="2">
        <v>45323</v>
      </c>
      <c r="E232" t="s">
        <v>1737</v>
      </c>
      <c r="F232" t="s">
        <v>82</v>
      </c>
      <c r="G232" t="s">
        <v>1019</v>
      </c>
      <c r="H232" t="s">
        <v>1633</v>
      </c>
      <c r="I232" t="s">
        <v>973</v>
      </c>
      <c r="J232" t="s">
        <v>968</v>
      </c>
      <c r="M232" t="s">
        <v>1738</v>
      </c>
      <c r="N232" s="64" t="s">
        <v>1739</v>
      </c>
      <c r="R232" t="s">
        <v>970</v>
      </c>
      <c r="T232" s="17">
        <v>2025000</v>
      </c>
    </row>
    <row r="233" spans="1:23">
      <c r="A233">
        <v>37</v>
      </c>
      <c r="B233" t="s">
        <v>96</v>
      </c>
      <c r="C233">
        <v>2024</v>
      </c>
      <c r="D233" s="2">
        <v>45334</v>
      </c>
      <c r="E233" t="s">
        <v>1740</v>
      </c>
      <c r="F233" t="s">
        <v>95</v>
      </c>
      <c r="G233" t="s">
        <v>1741</v>
      </c>
      <c r="H233" t="s">
        <v>1633</v>
      </c>
      <c r="I233" t="s">
        <v>973</v>
      </c>
      <c r="J233" t="s">
        <v>968</v>
      </c>
      <c r="M233" t="s">
        <v>1742</v>
      </c>
      <c r="N233" s="64">
        <v>1932727632</v>
      </c>
      <c r="O233">
        <v>1926683240</v>
      </c>
      <c r="R233" t="s">
        <v>970</v>
      </c>
      <c r="T233" s="17">
        <v>1366200</v>
      </c>
      <c r="V233" s="2">
        <v>45383</v>
      </c>
      <c r="W233" s="46" t="s">
        <v>971</v>
      </c>
    </row>
    <row r="234" spans="1:23">
      <c r="B234" t="s">
        <v>96</v>
      </c>
      <c r="C234">
        <v>2024</v>
      </c>
      <c r="D234" s="2">
        <v>45341</v>
      </c>
      <c r="E234" t="s">
        <v>1743</v>
      </c>
      <c r="H234" t="s">
        <v>967</v>
      </c>
      <c r="I234" t="s">
        <v>48</v>
      </c>
      <c r="J234" t="s">
        <v>968</v>
      </c>
      <c r="M234" t="s">
        <v>1744</v>
      </c>
      <c r="N234" s="64">
        <v>888392939400</v>
      </c>
      <c r="R234" t="s">
        <v>970</v>
      </c>
      <c r="T234" s="17"/>
      <c r="V234" s="2">
        <v>45341</v>
      </c>
      <c r="W234" s="46" t="s">
        <v>971</v>
      </c>
    </row>
    <row r="235" spans="1:23">
      <c r="A235">
        <v>44</v>
      </c>
      <c r="B235" t="s">
        <v>96</v>
      </c>
      <c r="C235">
        <v>2024</v>
      </c>
      <c r="D235" s="2">
        <v>45342</v>
      </c>
      <c r="E235" t="s">
        <v>1745</v>
      </c>
      <c r="F235" t="s">
        <v>124</v>
      </c>
      <c r="G235" t="s">
        <v>1746</v>
      </c>
      <c r="H235" t="s">
        <v>1633</v>
      </c>
      <c r="I235" t="s">
        <v>973</v>
      </c>
      <c r="J235" t="s">
        <v>968</v>
      </c>
      <c r="M235" t="s">
        <v>1747</v>
      </c>
      <c r="N235" s="72">
        <v>1927803674</v>
      </c>
      <c r="R235" t="s">
        <v>970</v>
      </c>
      <c r="T235" s="17"/>
      <c r="V235" s="2">
        <v>45350</v>
      </c>
      <c r="W235" s="46" t="s">
        <v>971</v>
      </c>
    </row>
    <row r="236" spans="1:23">
      <c r="A236">
        <v>49</v>
      </c>
      <c r="B236" t="s">
        <v>96</v>
      </c>
      <c r="C236">
        <v>2024</v>
      </c>
      <c r="D236" s="2">
        <v>45350</v>
      </c>
      <c r="E236" t="s">
        <v>1748</v>
      </c>
      <c r="F236" t="s">
        <v>1749</v>
      </c>
      <c r="G236" t="s">
        <v>1750</v>
      </c>
      <c r="H236" t="s">
        <v>1633</v>
      </c>
      <c r="I236" t="s">
        <v>973</v>
      </c>
      <c r="J236" t="s">
        <v>968</v>
      </c>
      <c r="M236" t="s">
        <v>1751</v>
      </c>
      <c r="N236" s="64">
        <v>1928908929</v>
      </c>
      <c r="R236" t="s">
        <v>970</v>
      </c>
      <c r="T236" s="17">
        <v>7572500</v>
      </c>
      <c r="V236" s="2">
        <v>45366</v>
      </c>
      <c r="W236" s="46" t="s">
        <v>971</v>
      </c>
    </row>
    <row r="237" spans="1:23">
      <c r="B237" t="s">
        <v>96</v>
      </c>
      <c r="C237">
        <v>2024</v>
      </c>
      <c r="D237" s="2">
        <v>45350</v>
      </c>
      <c r="E237" t="s">
        <v>1748</v>
      </c>
      <c r="F237" t="s">
        <v>1749</v>
      </c>
      <c r="G237" t="s">
        <v>1750</v>
      </c>
      <c r="H237" t="s">
        <v>1633</v>
      </c>
      <c r="I237" t="s">
        <v>973</v>
      </c>
      <c r="J237" t="s">
        <v>968</v>
      </c>
      <c r="M237" t="s">
        <v>1752</v>
      </c>
      <c r="N237" s="64">
        <v>1928904349</v>
      </c>
      <c r="R237" t="s">
        <v>970</v>
      </c>
      <c r="T237" s="17"/>
      <c r="V237" s="2">
        <v>45366</v>
      </c>
      <c r="W237" s="46" t="s">
        <v>971</v>
      </c>
    </row>
    <row r="238" spans="1:23">
      <c r="A238">
        <v>51</v>
      </c>
      <c r="B238" t="s">
        <v>144</v>
      </c>
      <c r="C238">
        <v>2024</v>
      </c>
      <c r="D238" s="2">
        <v>45355</v>
      </c>
      <c r="E238" t="s">
        <v>1753</v>
      </c>
      <c r="F238" t="s">
        <v>146</v>
      </c>
      <c r="G238" t="s">
        <v>1754</v>
      </c>
      <c r="H238" t="s">
        <v>1633</v>
      </c>
      <c r="I238" t="s">
        <v>973</v>
      </c>
      <c r="J238" t="s">
        <v>968</v>
      </c>
      <c r="M238" t="s">
        <v>1755</v>
      </c>
      <c r="N238" s="64">
        <v>1928999328</v>
      </c>
      <c r="R238" t="s">
        <v>970</v>
      </c>
      <c r="T238" s="17">
        <v>3332000</v>
      </c>
      <c r="U238" t="s">
        <v>1756</v>
      </c>
      <c r="V238" s="2">
        <v>45365</v>
      </c>
      <c r="W238" s="46" t="s">
        <v>971</v>
      </c>
    </row>
    <row r="239" spans="1:23">
      <c r="A239">
        <v>60</v>
      </c>
      <c r="B239" t="s">
        <v>144</v>
      </c>
      <c r="C239">
        <v>2024</v>
      </c>
      <c r="D239" s="2">
        <v>45369</v>
      </c>
      <c r="E239" t="s">
        <v>1757</v>
      </c>
      <c r="F239" t="s">
        <v>143</v>
      </c>
      <c r="G239" t="s">
        <v>1758</v>
      </c>
      <c r="H239" t="s">
        <v>1633</v>
      </c>
      <c r="I239" t="s">
        <v>973</v>
      </c>
      <c r="J239" t="s">
        <v>968</v>
      </c>
      <c r="M239" t="s">
        <v>1759</v>
      </c>
      <c r="R239" t="s">
        <v>970</v>
      </c>
      <c r="T239" s="17">
        <v>449000</v>
      </c>
      <c r="U239" t="s">
        <v>1760</v>
      </c>
      <c r="V239" s="2">
        <v>45425</v>
      </c>
      <c r="W239" s="46" t="s">
        <v>971</v>
      </c>
    </row>
    <row r="240" spans="1:23">
      <c r="A240">
        <v>62</v>
      </c>
      <c r="B240" t="s">
        <v>144</v>
      </c>
      <c r="C240">
        <v>2024</v>
      </c>
      <c r="D240" s="2">
        <v>45371</v>
      </c>
      <c r="E240" t="s">
        <v>1761</v>
      </c>
      <c r="F240" t="s">
        <v>1762</v>
      </c>
      <c r="G240" t="s">
        <v>1763</v>
      </c>
      <c r="H240" t="s">
        <v>1633</v>
      </c>
      <c r="I240" t="s">
        <v>973</v>
      </c>
      <c r="J240" t="s">
        <v>968</v>
      </c>
      <c r="Q240" t="s">
        <v>1562</v>
      </c>
      <c r="R240" t="s">
        <v>970</v>
      </c>
      <c r="T240" s="17"/>
    </row>
    <row r="241" spans="1:23">
      <c r="A241">
        <v>63</v>
      </c>
      <c r="B241" t="s">
        <v>144</v>
      </c>
      <c r="C241">
        <v>2024</v>
      </c>
      <c r="D241" s="2">
        <v>45373</v>
      </c>
      <c r="E241" t="s">
        <v>1764</v>
      </c>
      <c r="F241" t="s">
        <v>1765</v>
      </c>
      <c r="G241" t="s">
        <v>1766</v>
      </c>
      <c r="H241" t="s">
        <v>1633</v>
      </c>
      <c r="I241" t="s">
        <v>973</v>
      </c>
      <c r="J241" t="s">
        <v>968</v>
      </c>
      <c r="M241" t="s">
        <v>1767</v>
      </c>
      <c r="N241" s="72">
        <v>1931529471</v>
      </c>
      <c r="O241">
        <v>1931529409</v>
      </c>
      <c r="R241" t="s">
        <v>970</v>
      </c>
      <c r="T241" s="17">
        <v>5286000</v>
      </c>
      <c r="U241" t="s">
        <v>1768</v>
      </c>
      <c r="V241" s="2">
        <v>45374</v>
      </c>
      <c r="W241" s="46" t="s">
        <v>971</v>
      </c>
    </row>
    <row r="242" spans="1:23">
      <c r="A242">
        <v>68</v>
      </c>
      <c r="B242" t="s">
        <v>183</v>
      </c>
      <c r="C242">
        <v>2024</v>
      </c>
      <c r="D242" s="2">
        <v>45383</v>
      </c>
      <c r="E242" t="s">
        <v>1769</v>
      </c>
      <c r="F242" t="s">
        <v>1770</v>
      </c>
      <c r="G242" t="s">
        <v>1771</v>
      </c>
      <c r="H242" t="s">
        <v>1633</v>
      </c>
      <c r="I242" t="s">
        <v>973</v>
      </c>
      <c r="J242" t="s">
        <v>968</v>
      </c>
      <c r="M242" t="s">
        <v>1772</v>
      </c>
      <c r="R242" t="s">
        <v>970</v>
      </c>
      <c r="T242" s="17">
        <v>5373613</v>
      </c>
      <c r="U242" t="s">
        <v>1773</v>
      </c>
      <c r="V242" s="2">
        <v>45436</v>
      </c>
    </row>
    <row r="243" spans="1:23">
      <c r="A243">
        <v>69</v>
      </c>
      <c r="B243" t="s">
        <v>183</v>
      </c>
      <c r="C243">
        <v>2024</v>
      </c>
      <c r="D243" s="2">
        <v>45385</v>
      </c>
      <c r="E243" t="s">
        <v>1774</v>
      </c>
      <c r="F243" t="s">
        <v>1775</v>
      </c>
      <c r="G243" t="s">
        <v>1776</v>
      </c>
      <c r="H243" t="s">
        <v>1633</v>
      </c>
      <c r="I243" t="s">
        <v>973</v>
      </c>
      <c r="J243" t="s">
        <v>968</v>
      </c>
      <c r="M243" t="s">
        <v>1777</v>
      </c>
      <c r="R243" t="s">
        <v>970</v>
      </c>
      <c r="T243" s="17">
        <v>1836000</v>
      </c>
      <c r="U243" t="s">
        <v>1778</v>
      </c>
      <c r="V243" s="2">
        <v>45404</v>
      </c>
      <c r="W243" s="46" t="s">
        <v>971</v>
      </c>
    </row>
    <row r="244" spans="1:23">
      <c r="A244">
        <v>71</v>
      </c>
      <c r="B244" t="s">
        <v>183</v>
      </c>
      <c r="C244">
        <v>2024</v>
      </c>
      <c r="D244" s="2">
        <v>45386</v>
      </c>
      <c r="E244" t="s">
        <v>1779</v>
      </c>
      <c r="F244" t="s">
        <v>182</v>
      </c>
      <c r="G244" t="s">
        <v>1780</v>
      </c>
      <c r="H244" t="s">
        <v>1633</v>
      </c>
      <c r="I244" t="s">
        <v>973</v>
      </c>
      <c r="J244" t="s">
        <v>968</v>
      </c>
      <c r="M244" t="s">
        <v>1781</v>
      </c>
      <c r="R244" t="s">
        <v>970</v>
      </c>
      <c r="T244" s="17">
        <v>449000</v>
      </c>
      <c r="U244" t="s">
        <v>1782</v>
      </c>
      <c r="V244" s="2">
        <v>45419</v>
      </c>
      <c r="W244" s="46" t="s">
        <v>971</v>
      </c>
    </row>
    <row r="245" spans="1:23">
      <c r="A245">
        <v>81</v>
      </c>
      <c r="B245" t="s">
        <v>183</v>
      </c>
      <c r="C245">
        <v>2024</v>
      </c>
      <c r="D245" s="2">
        <v>45412</v>
      </c>
      <c r="E245" t="s">
        <v>1783</v>
      </c>
      <c r="G245" t="s">
        <v>1784</v>
      </c>
      <c r="H245" t="s">
        <v>1633</v>
      </c>
      <c r="I245" t="s">
        <v>973</v>
      </c>
      <c r="J245" t="s">
        <v>1119</v>
      </c>
      <c r="N245" s="64" t="s">
        <v>1785</v>
      </c>
      <c r="R245" t="s">
        <v>970</v>
      </c>
      <c r="T245" s="17">
        <v>669000</v>
      </c>
    </row>
    <row r="246" spans="1:23">
      <c r="A246">
        <v>87</v>
      </c>
      <c r="B246" t="s">
        <v>212</v>
      </c>
      <c r="C246">
        <v>2024</v>
      </c>
      <c r="D246" s="2">
        <v>45419</v>
      </c>
      <c r="E246" t="s">
        <v>1786</v>
      </c>
      <c r="F246" t="s">
        <v>207</v>
      </c>
      <c r="G246" t="s">
        <v>1787</v>
      </c>
      <c r="H246" t="s">
        <v>1633</v>
      </c>
      <c r="I246" t="s">
        <v>973</v>
      </c>
      <c r="J246" t="s">
        <v>968</v>
      </c>
      <c r="M246" t="s">
        <v>1788</v>
      </c>
      <c r="N246" s="64">
        <v>2006860672</v>
      </c>
      <c r="O246">
        <v>2007063669</v>
      </c>
      <c r="R246" t="s">
        <v>970</v>
      </c>
      <c r="T246" s="17"/>
      <c r="U246" t="s">
        <v>1789</v>
      </c>
      <c r="V246" s="2">
        <v>45433</v>
      </c>
      <c r="W246" s="46" t="s">
        <v>971</v>
      </c>
    </row>
    <row r="247" spans="1:23">
      <c r="A247">
        <v>90</v>
      </c>
      <c r="B247" t="s">
        <v>212</v>
      </c>
      <c r="C247">
        <v>2024</v>
      </c>
      <c r="D247" s="2">
        <v>45420</v>
      </c>
      <c r="E247" t="s">
        <v>1790</v>
      </c>
      <c r="G247" t="s">
        <v>1791</v>
      </c>
      <c r="H247" t="s">
        <v>1633</v>
      </c>
      <c r="I247" t="s">
        <v>973</v>
      </c>
      <c r="J247" t="s">
        <v>968</v>
      </c>
      <c r="M247" t="s">
        <v>1792</v>
      </c>
      <c r="Q247" t="s">
        <v>1793</v>
      </c>
      <c r="R247" t="s">
        <v>970</v>
      </c>
      <c r="T247" s="17">
        <v>1396000</v>
      </c>
      <c r="U247" t="s">
        <v>1794</v>
      </c>
      <c r="V247" s="2">
        <v>45426</v>
      </c>
      <c r="W247" s="46" t="s">
        <v>971</v>
      </c>
    </row>
    <row r="248" spans="1:23">
      <c r="A248">
        <v>93</v>
      </c>
      <c r="B248" t="s">
        <v>212</v>
      </c>
      <c r="C248">
        <v>2024</v>
      </c>
      <c r="D248" s="2">
        <v>45426</v>
      </c>
      <c r="E248" t="s">
        <v>1795</v>
      </c>
      <c r="F248" t="s">
        <v>1796</v>
      </c>
      <c r="G248" t="s">
        <v>1797</v>
      </c>
      <c r="H248" t="s">
        <v>1633</v>
      </c>
      <c r="I248" t="s">
        <v>973</v>
      </c>
      <c r="J248" t="s">
        <v>968</v>
      </c>
      <c r="M248" t="s">
        <v>1798</v>
      </c>
      <c r="N248" s="64">
        <v>2007516306</v>
      </c>
      <c r="O248">
        <v>2007355210</v>
      </c>
      <c r="Q248" t="s">
        <v>1799</v>
      </c>
      <c r="R248" t="s">
        <v>970</v>
      </c>
      <c r="T248" s="17">
        <v>2196000</v>
      </c>
      <c r="U248" t="s">
        <v>1800</v>
      </c>
      <c r="V248" s="2">
        <v>45442</v>
      </c>
      <c r="W248" s="46" t="s">
        <v>971</v>
      </c>
    </row>
    <row r="249" spans="1:23">
      <c r="A249">
        <v>95</v>
      </c>
      <c r="B249" t="s">
        <v>212</v>
      </c>
      <c r="C249">
        <v>2024</v>
      </c>
      <c r="D249" s="2">
        <v>45426</v>
      </c>
      <c r="E249" t="s">
        <v>1801</v>
      </c>
      <c r="F249" t="s">
        <v>1802</v>
      </c>
      <c r="G249" t="s">
        <v>1803</v>
      </c>
      <c r="H249" t="s">
        <v>1633</v>
      </c>
      <c r="I249" t="s">
        <v>973</v>
      </c>
      <c r="J249" t="s">
        <v>1804</v>
      </c>
      <c r="R249" t="s">
        <v>970</v>
      </c>
      <c r="T249" s="17"/>
    </row>
    <row r="250" spans="1:23">
      <c r="A250">
        <v>101</v>
      </c>
      <c r="B250" t="s">
        <v>212</v>
      </c>
      <c r="C250">
        <v>2024</v>
      </c>
      <c r="D250" s="2">
        <v>45433</v>
      </c>
      <c r="E250" t="s">
        <v>1805</v>
      </c>
      <c r="F250" t="s">
        <v>121</v>
      </c>
      <c r="G250" t="s">
        <v>1806</v>
      </c>
      <c r="H250" t="s">
        <v>1633</v>
      </c>
      <c r="I250" t="s">
        <v>973</v>
      </c>
      <c r="J250" t="s">
        <v>968</v>
      </c>
      <c r="M250" t="s">
        <v>1807</v>
      </c>
      <c r="N250" s="64">
        <v>2007512283</v>
      </c>
      <c r="Q250" t="s">
        <v>1808</v>
      </c>
      <c r="R250" t="s">
        <v>970</v>
      </c>
      <c r="T250" s="17">
        <v>401000</v>
      </c>
      <c r="U250" t="s">
        <v>1809</v>
      </c>
      <c r="V250" s="2">
        <v>45440</v>
      </c>
      <c r="W250" s="46" t="s">
        <v>971</v>
      </c>
    </row>
    <row r="251" spans="1:23">
      <c r="A251">
        <v>111</v>
      </c>
      <c r="B251" t="s">
        <v>212</v>
      </c>
      <c r="C251">
        <v>2024</v>
      </c>
      <c r="D251" s="2">
        <v>45441</v>
      </c>
      <c r="E251" t="s">
        <v>1810</v>
      </c>
      <c r="F251" t="s">
        <v>254</v>
      </c>
      <c r="G251" t="s">
        <v>1811</v>
      </c>
      <c r="H251" t="s">
        <v>1633</v>
      </c>
      <c r="I251" t="s">
        <v>973</v>
      </c>
      <c r="J251" t="s">
        <v>968</v>
      </c>
      <c r="M251" t="s">
        <v>1812</v>
      </c>
      <c r="N251" s="64">
        <v>2011397623</v>
      </c>
      <c r="R251" t="s">
        <v>970</v>
      </c>
      <c r="T251" s="17"/>
      <c r="V251" s="2">
        <v>45482</v>
      </c>
      <c r="W251" s="46" t="s">
        <v>971</v>
      </c>
    </row>
    <row r="252" spans="1:23" ht="30.75">
      <c r="A252">
        <v>113</v>
      </c>
      <c r="B252" t="s">
        <v>261</v>
      </c>
      <c r="C252">
        <v>2024</v>
      </c>
      <c r="D252" s="2">
        <v>45447</v>
      </c>
      <c r="E252" s="44" t="s">
        <v>1813</v>
      </c>
      <c r="F252" t="s">
        <v>1814</v>
      </c>
      <c r="G252" t="s">
        <v>1815</v>
      </c>
      <c r="H252" t="s">
        <v>1633</v>
      </c>
      <c r="I252" t="s">
        <v>1302</v>
      </c>
      <c r="J252" t="s">
        <v>968</v>
      </c>
      <c r="M252" t="s">
        <v>1816</v>
      </c>
      <c r="N252" s="64">
        <v>888061004895</v>
      </c>
      <c r="R252" t="s">
        <v>970</v>
      </c>
      <c r="T252" s="17"/>
      <c r="W252" s="46" t="s">
        <v>971</v>
      </c>
    </row>
    <row r="253" spans="1:23" ht="18" customHeight="1">
      <c r="B253" t="s">
        <v>261</v>
      </c>
      <c r="C253">
        <v>2024</v>
      </c>
      <c r="D253" s="2">
        <v>45447</v>
      </c>
      <c r="E253" s="44" t="s">
        <v>1817</v>
      </c>
      <c r="F253" t="s">
        <v>1814</v>
      </c>
      <c r="G253" t="s">
        <v>1815</v>
      </c>
      <c r="H253" t="s">
        <v>1633</v>
      </c>
      <c r="I253" t="s">
        <v>1302</v>
      </c>
      <c r="J253" t="s">
        <v>968</v>
      </c>
      <c r="M253" t="s">
        <v>1818</v>
      </c>
      <c r="N253" s="64">
        <v>888061003850</v>
      </c>
      <c r="R253" t="s">
        <v>970</v>
      </c>
      <c r="T253" s="17"/>
      <c r="W253" s="46" t="s">
        <v>971</v>
      </c>
    </row>
    <row r="254" spans="1:23">
      <c r="A254">
        <v>114</v>
      </c>
      <c r="B254" t="s">
        <v>261</v>
      </c>
      <c r="C254">
        <v>2024</v>
      </c>
      <c r="D254" s="2">
        <v>45448</v>
      </c>
      <c r="E254" t="s">
        <v>1819</v>
      </c>
      <c r="F254" t="s">
        <v>1820</v>
      </c>
      <c r="G254" t="s">
        <v>1821</v>
      </c>
      <c r="H254" t="s">
        <v>1633</v>
      </c>
      <c r="I254" t="s">
        <v>973</v>
      </c>
      <c r="J254" t="s">
        <v>968</v>
      </c>
      <c r="T254" s="17"/>
    </row>
    <row r="255" spans="1:23">
      <c r="A255">
        <v>115</v>
      </c>
      <c r="B255" t="s">
        <v>261</v>
      </c>
      <c r="C255">
        <v>2024</v>
      </c>
      <c r="D255" s="2">
        <v>45448</v>
      </c>
      <c r="E255" t="s">
        <v>1822</v>
      </c>
      <c r="G255" t="s">
        <v>1823</v>
      </c>
      <c r="H255" t="s">
        <v>1633</v>
      </c>
      <c r="I255" t="s">
        <v>973</v>
      </c>
      <c r="J255" t="s">
        <v>968</v>
      </c>
      <c r="M255" t="s">
        <v>1824</v>
      </c>
      <c r="N255" s="64">
        <v>2019424065</v>
      </c>
      <c r="R255" t="s">
        <v>970</v>
      </c>
      <c r="T255" s="17"/>
      <c r="W255" s="46" t="s">
        <v>971</v>
      </c>
    </row>
    <row r="256" spans="1:23">
      <c r="A256">
        <v>118</v>
      </c>
      <c r="B256" s="45" t="s">
        <v>660</v>
      </c>
      <c r="C256">
        <v>2024</v>
      </c>
      <c r="D256" s="2">
        <v>45453</v>
      </c>
      <c r="E256" t="s">
        <v>1825</v>
      </c>
      <c r="F256" t="s">
        <v>245</v>
      </c>
      <c r="G256" t="s">
        <v>1826</v>
      </c>
      <c r="H256" t="s">
        <v>1633</v>
      </c>
      <c r="I256" t="s">
        <v>973</v>
      </c>
      <c r="J256" t="s">
        <v>968</v>
      </c>
      <c r="M256" t="s">
        <v>1827</v>
      </c>
      <c r="T256" s="17"/>
    </row>
    <row r="257" spans="1:23">
      <c r="B257" t="s">
        <v>261</v>
      </c>
      <c r="C257">
        <v>2024</v>
      </c>
      <c r="D257" s="2">
        <v>45453</v>
      </c>
      <c r="E257" t="s">
        <v>1828</v>
      </c>
      <c r="F257" t="s">
        <v>245</v>
      </c>
      <c r="G257" t="s">
        <v>1826</v>
      </c>
      <c r="H257" t="s">
        <v>1633</v>
      </c>
      <c r="I257" t="s">
        <v>973</v>
      </c>
      <c r="J257" t="s">
        <v>968</v>
      </c>
      <c r="M257" t="s">
        <v>1829</v>
      </c>
      <c r="N257" s="64">
        <v>2014929063</v>
      </c>
      <c r="O257">
        <v>2012152399</v>
      </c>
      <c r="R257" t="s">
        <v>970</v>
      </c>
      <c r="T257" s="17"/>
      <c r="V257" s="2">
        <v>45481</v>
      </c>
      <c r="W257" s="46" t="s">
        <v>971</v>
      </c>
    </row>
    <row r="258" spans="1:23">
      <c r="A258">
        <v>119</v>
      </c>
      <c r="B258" t="s">
        <v>261</v>
      </c>
      <c r="C258">
        <v>2024</v>
      </c>
      <c r="D258" s="2">
        <v>45454</v>
      </c>
      <c r="E258" t="s">
        <v>1830</v>
      </c>
      <c r="F258" t="s">
        <v>211</v>
      </c>
      <c r="G258" t="s">
        <v>1831</v>
      </c>
      <c r="H258" t="s">
        <v>1633</v>
      </c>
      <c r="I258" t="s">
        <v>973</v>
      </c>
      <c r="J258" t="s">
        <v>968</v>
      </c>
      <c r="M258" t="s">
        <v>1832</v>
      </c>
      <c r="T258" s="17"/>
    </row>
    <row r="259" spans="1:23">
      <c r="A259">
        <v>123</v>
      </c>
      <c r="B259" t="s">
        <v>261</v>
      </c>
      <c r="C259">
        <v>2024</v>
      </c>
      <c r="D259" s="2">
        <v>45456</v>
      </c>
      <c r="E259" t="s">
        <v>1833</v>
      </c>
      <c r="F259" t="s">
        <v>265</v>
      </c>
      <c r="G259" t="s">
        <v>1834</v>
      </c>
      <c r="H259" t="s">
        <v>1633</v>
      </c>
      <c r="I259" t="s">
        <v>973</v>
      </c>
      <c r="J259" t="s">
        <v>968</v>
      </c>
      <c r="M259" s="43" t="s">
        <v>1835</v>
      </c>
      <c r="N259" s="64">
        <v>2016429563</v>
      </c>
      <c r="O259">
        <v>2016429475</v>
      </c>
      <c r="R259" t="s">
        <v>970</v>
      </c>
      <c r="T259" s="17"/>
      <c r="V259" s="2">
        <v>45476</v>
      </c>
      <c r="W259" s="46" t="s">
        <v>971</v>
      </c>
    </row>
    <row r="260" spans="1:23">
      <c r="A260">
        <v>131</v>
      </c>
      <c r="B260" t="s">
        <v>261</v>
      </c>
      <c r="C260">
        <v>2024</v>
      </c>
      <c r="D260" s="2">
        <v>45462</v>
      </c>
      <c r="E260" t="s">
        <v>1836</v>
      </c>
      <c r="F260" t="s">
        <v>1837</v>
      </c>
      <c r="G260" t="s">
        <v>1838</v>
      </c>
      <c r="H260" t="s">
        <v>1633</v>
      </c>
      <c r="I260" t="s">
        <v>973</v>
      </c>
      <c r="J260" t="s">
        <v>968</v>
      </c>
      <c r="M260" t="s">
        <v>1839</v>
      </c>
      <c r="N260" s="64">
        <v>2018003709</v>
      </c>
      <c r="T260" s="17"/>
      <c r="W260" s="46" t="s">
        <v>971</v>
      </c>
    </row>
    <row r="261" spans="1:23">
      <c r="A261">
        <v>133</v>
      </c>
      <c r="B261" t="s">
        <v>261</v>
      </c>
      <c r="C261">
        <v>2024</v>
      </c>
      <c r="D261" s="2">
        <v>45462</v>
      </c>
      <c r="E261" t="s">
        <v>1840</v>
      </c>
      <c r="F261" t="s">
        <v>211</v>
      </c>
      <c r="G261" t="s">
        <v>1841</v>
      </c>
      <c r="H261" t="s">
        <v>1633</v>
      </c>
      <c r="I261" t="s">
        <v>973</v>
      </c>
      <c r="J261" t="s">
        <v>968</v>
      </c>
      <c r="M261" t="s">
        <v>1832</v>
      </c>
      <c r="Q261" t="s">
        <v>1842</v>
      </c>
      <c r="T261" s="17"/>
    </row>
    <row r="262" spans="1:23">
      <c r="B262" t="s">
        <v>261</v>
      </c>
      <c r="C262">
        <v>2024</v>
      </c>
      <c r="D262" s="2">
        <v>45469</v>
      </c>
      <c r="E262" t="s">
        <v>1843</v>
      </c>
      <c r="H262" t="s">
        <v>1364</v>
      </c>
      <c r="I262" t="s">
        <v>48</v>
      </c>
      <c r="J262" t="s">
        <v>968</v>
      </c>
      <c r="M262" t="s">
        <v>1844</v>
      </c>
      <c r="N262" s="64">
        <v>888401284704</v>
      </c>
      <c r="R262" t="s">
        <v>970</v>
      </c>
      <c r="T262" s="17"/>
      <c r="W262" s="46" t="s">
        <v>971</v>
      </c>
    </row>
    <row r="263" spans="1:23">
      <c r="A263">
        <v>141</v>
      </c>
      <c r="B263" t="s">
        <v>261</v>
      </c>
      <c r="C263">
        <v>2024</v>
      </c>
      <c r="D263" s="2">
        <v>45471</v>
      </c>
      <c r="E263" t="s">
        <v>1845</v>
      </c>
      <c r="F263" t="s">
        <v>1846</v>
      </c>
      <c r="G263" t="s">
        <v>1847</v>
      </c>
      <c r="H263" t="s">
        <v>1633</v>
      </c>
      <c r="I263" t="s">
        <v>1353</v>
      </c>
      <c r="J263" t="s">
        <v>968</v>
      </c>
      <c r="R263" t="s">
        <v>1848</v>
      </c>
      <c r="T263" s="17"/>
    </row>
    <row r="264" spans="1:23">
      <c r="A264">
        <v>143</v>
      </c>
      <c r="B264" t="s">
        <v>274</v>
      </c>
      <c r="C264">
        <v>2024</v>
      </c>
      <c r="D264" s="2">
        <v>45474</v>
      </c>
      <c r="E264" t="s">
        <v>1849</v>
      </c>
      <c r="F264" t="s">
        <v>1080</v>
      </c>
      <c r="G264" t="s">
        <v>1081</v>
      </c>
      <c r="H264" t="s">
        <v>1633</v>
      </c>
      <c r="I264" t="s">
        <v>973</v>
      </c>
      <c r="J264" t="s">
        <v>968</v>
      </c>
      <c r="M264" t="s">
        <v>1850</v>
      </c>
      <c r="N264" s="64">
        <v>888051609782</v>
      </c>
      <c r="R264" t="s">
        <v>970</v>
      </c>
      <c r="T264" s="17"/>
      <c r="W264" s="46" t="s">
        <v>971</v>
      </c>
    </row>
    <row r="265" spans="1:23">
      <c r="A265">
        <v>146</v>
      </c>
      <c r="B265" t="s">
        <v>274</v>
      </c>
      <c r="C265">
        <v>2024</v>
      </c>
      <c r="D265" s="2">
        <v>45477</v>
      </c>
      <c r="E265" t="s">
        <v>1851</v>
      </c>
      <c r="F265" t="s">
        <v>1852</v>
      </c>
      <c r="G265" t="s">
        <v>1853</v>
      </c>
      <c r="H265" t="s">
        <v>1633</v>
      </c>
      <c r="I265" t="s">
        <v>973</v>
      </c>
      <c r="J265" t="s">
        <v>1119</v>
      </c>
      <c r="N265" s="64">
        <v>146113137058</v>
      </c>
      <c r="T265" s="17"/>
    </row>
    <row r="266" spans="1:23">
      <c r="A266">
        <v>147</v>
      </c>
      <c r="B266" t="s">
        <v>274</v>
      </c>
      <c r="C266">
        <v>2024</v>
      </c>
      <c r="D266" s="2">
        <v>45477</v>
      </c>
      <c r="E266" t="s">
        <v>1854</v>
      </c>
      <c r="F266" t="s">
        <v>1852</v>
      </c>
      <c r="G266" t="s">
        <v>1853</v>
      </c>
      <c r="H266" t="s">
        <v>1633</v>
      </c>
      <c r="I266" t="s">
        <v>973</v>
      </c>
      <c r="J266" t="s">
        <v>1119</v>
      </c>
      <c r="N266" s="64">
        <v>146113137058</v>
      </c>
      <c r="T266" s="17"/>
    </row>
    <row r="267" spans="1:23">
      <c r="A267">
        <v>148</v>
      </c>
      <c r="B267" t="s">
        <v>274</v>
      </c>
      <c r="C267">
        <v>2024</v>
      </c>
      <c r="D267" s="2">
        <v>45481</v>
      </c>
      <c r="E267" t="s">
        <v>1855</v>
      </c>
      <c r="F267" t="s">
        <v>77</v>
      </c>
      <c r="G267" t="s">
        <v>1856</v>
      </c>
      <c r="H267" t="s">
        <v>1633</v>
      </c>
      <c r="I267" t="s">
        <v>973</v>
      </c>
      <c r="J267" t="s">
        <v>968</v>
      </c>
      <c r="M267" t="s">
        <v>1857</v>
      </c>
      <c r="N267" s="64">
        <v>2018714113</v>
      </c>
      <c r="R267" t="s">
        <v>970</v>
      </c>
      <c r="T267" s="17"/>
      <c r="W267" s="46" t="s">
        <v>971</v>
      </c>
    </row>
    <row r="268" spans="1:23">
      <c r="A268">
        <v>151</v>
      </c>
      <c r="B268" t="s">
        <v>274</v>
      </c>
      <c r="C268">
        <v>2024</v>
      </c>
      <c r="D268" s="2">
        <v>45483</v>
      </c>
      <c r="E268" t="s">
        <v>1858</v>
      </c>
      <c r="F268" t="s">
        <v>1859</v>
      </c>
      <c r="G268" t="s">
        <v>1860</v>
      </c>
      <c r="H268" t="s">
        <v>1633</v>
      </c>
      <c r="I268" t="s">
        <v>973</v>
      </c>
      <c r="J268" t="s">
        <v>1804</v>
      </c>
      <c r="T268" s="17"/>
    </row>
    <row r="269" spans="1:23">
      <c r="B269" t="s">
        <v>274</v>
      </c>
      <c r="C269">
        <v>2024</v>
      </c>
      <c r="D269" s="2">
        <v>45483</v>
      </c>
      <c r="E269" t="s">
        <v>1861</v>
      </c>
      <c r="H269" t="s">
        <v>1633</v>
      </c>
      <c r="I269" t="s">
        <v>973</v>
      </c>
      <c r="J269" t="s">
        <v>968</v>
      </c>
      <c r="M269" t="s">
        <v>1862</v>
      </c>
      <c r="N269" s="64">
        <v>2012288930</v>
      </c>
      <c r="O269">
        <v>2012293970</v>
      </c>
      <c r="R269" t="s">
        <v>970</v>
      </c>
      <c r="T269" s="17"/>
      <c r="V269" s="2">
        <v>45483</v>
      </c>
      <c r="W269" s="46" t="s">
        <v>971</v>
      </c>
    </row>
    <row r="270" spans="1:23">
      <c r="A270">
        <v>153</v>
      </c>
      <c r="B270" t="s">
        <v>274</v>
      </c>
      <c r="C270">
        <v>2024</v>
      </c>
      <c r="D270" s="2">
        <v>45488</v>
      </c>
      <c r="E270" t="s">
        <v>1863</v>
      </c>
      <c r="F270" t="s">
        <v>281</v>
      </c>
      <c r="G270" t="s">
        <v>1864</v>
      </c>
      <c r="H270" t="s">
        <v>1633</v>
      </c>
      <c r="I270" t="s">
        <v>973</v>
      </c>
      <c r="J270" t="s">
        <v>968</v>
      </c>
      <c r="M270" s="43" t="s">
        <v>1865</v>
      </c>
      <c r="P270" t="s">
        <v>1866</v>
      </c>
      <c r="T270" s="17"/>
    </row>
    <row r="271" spans="1:23">
      <c r="A271">
        <v>155</v>
      </c>
      <c r="B271" t="s">
        <v>274</v>
      </c>
      <c r="C271">
        <v>2024</v>
      </c>
      <c r="D271" s="2">
        <v>45495</v>
      </c>
      <c r="E271" t="s">
        <v>1867</v>
      </c>
      <c r="F271" t="s">
        <v>1868</v>
      </c>
      <c r="G271" t="s">
        <v>1486</v>
      </c>
      <c r="H271" t="s">
        <v>1633</v>
      </c>
      <c r="I271" t="s">
        <v>973</v>
      </c>
      <c r="J271" t="s">
        <v>1119</v>
      </c>
      <c r="T271" s="17"/>
    </row>
    <row r="272" spans="1:23">
      <c r="A272">
        <v>156</v>
      </c>
      <c r="B272" t="s">
        <v>274</v>
      </c>
      <c r="C272">
        <v>2024</v>
      </c>
      <c r="D272" s="2">
        <v>45495</v>
      </c>
      <c r="E272" t="s">
        <v>1869</v>
      </c>
      <c r="F272" t="s">
        <v>1870</v>
      </c>
      <c r="G272" t="s">
        <v>1871</v>
      </c>
      <c r="H272" t="s">
        <v>1633</v>
      </c>
      <c r="I272" t="s">
        <v>973</v>
      </c>
      <c r="J272" t="s">
        <v>968</v>
      </c>
      <c r="M272" s="43" t="s">
        <v>1872</v>
      </c>
      <c r="N272" s="64">
        <v>2018718030</v>
      </c>
      <c r="R272" t="s">
        <v>970</v>
      </c>
      <c r="T272" s="17"/>
      <c r="W272" s="46" t="s">
        <v>971</v>
      </c>
    </row>
    <row r="273" spans="1:23">
      <c r="A273">
        <v>157</v>
      </c>
      <c r="B273" t="s">
        <v>274</v>
      </c>
      <c r="C273">
        <v>2024</v>
      </c>
      <c r="D273" s="34" t="s">
        <v>1873</v>
      </c>
      <c r="E273" t="s">
        <v>1874</v>
      </c>
      <c r="F273" t="s">
        <v>77</v>
      </c>
      <c r="G273" t="s">
        <v>1875</v>
      </c>
      <c r="H273" t="s">
        <v>1633</v>
      </c>
      <c r="I273" t="s">
        <v>973</v>
      </c>
      <c r="J273" t="s">
        <v>968</v>
      </c>
      <c r="T273" s="17"/>
    </row>
    <row r="274" spans="1:23">
      <c r="A274">
        <v>167</v>
      </c>
      <c r="B274" t="s">
        <v>274</v>
      </c>
      <c r="C274">
        <v>2024</v>
      </c>
      <c r="D274" s="34" t="s">
        <v>1093</v>
      </c>
      <c r="E274" s="44" t="s">
        <v>1876</v>
      </c>
      <c r="F274" t="s">
        <v>285</v>
      </c>
      <c r="G274" t="s">
        <v>1095</v>
      </c>
      <c r="H274" t="s">
        <v>1633</v>
      </c>
      <c r="I274" t="s">
        <v>973</v>
      </c>
      <c r="J274" t="s">
        <v>968</v>
      </c>
      <c r="M274" s="44" t="s">
        <v>1877</v>
      </c>
      <c r="N274" s="64">
        <v>2021072404</v>
      </c>
      <c r="R274" t="s">
        <v>970</v>
      </c>
      <c r="T274" s="17"/>
      <c r="W274" s="46" t="s">
        <v>971</v>
      </c>
    </row>
    <row r="275" spans="1:23" ht="15.75">
      <c r="A275">
        <v>172</v>
      </c>
      <c r="B275" t="s">
        <v>274</v>
      </c>
      <c r="C275">
        <v>2024</v>
      </c>
      <c r="D275" s="34" t="s">
        <v>1093</v>
      </c>
      <c r="E275" t="s">
        <v>1878</v>
      </c>
      <c r="F275" t="s">
        <v>269</v>
      </c>
      <c r="G275" t="s">
        <v>1879</v>
      </c>
      <c r="H275" t="s">
        <v>1633</v>
      </c>
      <c r="I275" t="s">
        <v>973</v>
      </c>
      <c r="J275" t="s">
        <v>968</v>
      </c>
      <c r="M275" s="79" t="s">
        <v>1880</v>
      </c>
      <c r="N275" s="64">
        <v>2018744415</v>
      </c>
      <c r="R275" t="s">
        <v>970</v>
      </c>
      <c r="T275" s="17"/>
      <c r="W275" s="46" t="s">
        <v>971</v>
      </c>
    </row>
    <row r="276" spans="1:23" ht="15.75">
      <c r="B276" t="s">
        <v>303</v>
      </c>
      <c r="C276">
        <v>2024</v>
      </c>
      <c r="D276" s="162">
        <v>45512</v>
      </c>
      <c r="E276" t="s">
        <v>1881</v>
      </c>
      <c r="H276" t="s">
        <v>1180</v>
      </c>
      <c r="I276" t="s">
        <v>973</v>
      </c>
      <c r="J276" t="s">
        <v>968</v>
      </c>
      <c r="M276" s="79" t="s">
        <v>1882</v>
      </c>
      <c r="N276" s="64">
        <v>1742144049</v>
      </c>
      <c r="R276" t="s">
        <v>970</v>
      </c>
      <c r="T276" s="17"/>
      <c r="W276" s="46" t="s">
        <v>971</v>
      </c>
    </row>
    <row r="277" spans="1:23">
      <c r="A277">
        <v>213</v>
      </c>
      <c r="B277" t="s">
        <v>358</v>
      </c>
      <c r="C277">
        <v>2024</v>
      </c>
      <c r="D277" s="2">
        <v>45301</v>
      </c>
      <c r="E277" t="s">
        <v>1883</v>
      </c>
      <c r="H277" t="s">
        <v>1633</v>
      </c>
      <c r="I277" t="s">
        <v>973</v>
      </c>
      <c r="R277" t="s">
        <v>1171</v>
      </c>
      <c r="T277" s="17">
        <v>449000</v>
      </c>
    </row>
    <row r="278" spans="1:23">
      <c r="A278">
        <v>216</v>
      </c>
      <c r="B278" t="s">
        <v>358</v>
      </c>
      <c r="C278">
        <v>2024</v>
      </c>
      <c r="D278" s="2">
        <v>45361</v>
      </c>
      <c r="E278" t="s">
        <v>1884</v>
      </c>
      <c r="F278" t="s">
        <v>355</v>
      </c>
      <c r="G278" t="s">
        <v>1885</v>
      </c>
      <c r="H278" t="s">
        <v>1633</v>
      </c>
      <c r="I278" t="s">
        <v>973</v>
      </c>
      <c r="J278" t="s">
        <v>968</v>
      </c>
      <c r="R278" t="s">
        <v>1171</v>
      </c>
      <c r="T278" s="17">
        <v>1746000</v>
      </c>
    </row>
    <row r="279" spans="1:23">
      <c r="A279">
        <v>217</v>
      </c>
      <c r="B279" t="s">
        <v>358</v>
      </c>
      <c r="C279">
        <v>2024</v>
      </c>
      <c r="D279" s="2">
        <v>45483</v>
      </c>
      <c r="E279" t="s">
        <v>1886</v>
      </c>
      <c r="H279" t="s">
        <v>1633</v>
      </c>
      <c r="I279" t="s">
        <v>973</v>
      </c>
      <c r="R279" t="s">
        <v>970</v>
      </c>
      <c r="T279" s="17">
        <v>1176000</v>
      </c>
    </row>
    <row r="280" spans="1:23">
      <c r="A280">
        <v>219</v>
      </c>
      <c r="B280" t="s">
        <v>358</v>
      </c>
      <c r="C280">
        <v>2024</v>
      </c>
      <c r="D280" s="2">
        <v>45514</v>
      </c>
      <c r="E280" t="s">
        <v>1887</v>
      </c>
      <c r="F280" t="s">
        <v>363</v>
      </c>
      <c r="G280" t="s">
        <v>1888</v>
      </c>
      <c r="H280" t="s">
        <v>1633</v>
      </c>
      <c r="I280" t="s">
        <v>973</v>
      </c>
      <c r="J280" t="s">
        <v>968</v>
      </c>
      <c r="R280" t="s">
        <v>1171</v>
      </c>
      <c r="T280" s="17">
        <v>1974000</v>
      </c>
    </row>
    <row r="281" spans="1:23">
      <c r="A281">
        <v>229</v>
      </c>
      <c r="B281" t="s">
        <v>358</v>
      </c>
      <c r="C281">
        <v>2024</v>
      </c>
      <c r="D281" t="s">
        <v>1889</v>
      </c>
      <c r="E281" t="s">
        <v>1890</v>
      </c>
      <c r="H281" t="s">
        <v>1633</v>
      </c>
      <c r="I281" t="s">
        <v>1302</v>
      </c>
      <c r="R281" t="s">
        <v>1171</v>
      </c>
      <c r="T281" s="17">
        <v>4115000</v>
      </c>
    </row>
    <row r="282" spans="1:23">
      <c r="A282">
        <v>230</v>
      </c>
      <c r="B282" t="s">
        <v>358</v>
      </c>
      <c r="C282">
        <v>2024</v>
      </c>
      <c r="D282" t="s">
        <v>1891</v>
      </c>
      <c r="E282" t="s">
        <v>1892</v>
      </c>
      <c r="H282" t="s">
        <v>1633</v>
      </c>
      <c r="I282" t="s">
        <v>973</v>
      </c>
      <c r="J282" t="s">
        <v>968</v>
      </c>
      <c r="M282" t="s">
        <v>1893</v>
      </c>
      <c r="N282" s="64">
        <v>2061209868</v>
      </c>
      <c r="R282" t="s">
        <v>970</v>
      </c>
      <c r="T282" s="17">
        <v>30000000</v>
      </c>
      <c r="W282" s="46" t="s">
        <v>971</v>
      </c>
    </row>
    <row r="283" spans="1:23">
      <c r="A283">
        <v>235</v>
      </c>
      <c r="B283" t="s">
        <v>384</v>
      </c>
      <c r="C283">
        <v>2024</v>
      </c>
      <c r="D283" s="2">
        <v>45302</v>
      </c>
      <c r="E283" t="s">
        <v>1894</v>
      </c>
      <c r="F283" t="s">
        <v>1895</v>
      </c>
      <c r="G283" t="s">
        <v>1896</v>
      </c>
      <c r="H283" t="s">
        <v>1633</v>
      </c>
      <c r="I283" t="s">
        <v>973</v>
      </c>
      <c r="J283" t="s">
        <v>968</v>
      </c>
      <c r="R283" t="s">
        <v>970</v>
      </c>
      <c r="T283" s="17">
        <v>629100</v>
      </c>
    </row>
    <row r="284" spans="1:23">
      <c r="A284">
        <v>242</v>
      </c>
      <c r="B284" t="s">
        <v>384</v>
      </c>
      <c r="C284">
        <v>2024</v>
      </c>
      <c r="D284" s="2">
        <v>45607</v>
      </c>
      <c r="E284" t="s">
        <v>1897</v>
      </c>
      <c r="F284" t="s">
        <v>386</v>
      </c>
      <c r="G284" t="s">
        <v>1898</v>
      </c>
      <c r="H284" t="s">
        <v>967</v>
      </c>
      <c r="I284" t="s">
        <v>48</v>
      </c>
      <c r="J284" t="s">
        <v>968</v>
      </c>
      <c r="M284" t="s">
        <v>1899</v>
      </c>
      <c r="N284" s="64">
        <v>888200925009</v>
      </c>
      <c r="R284" t="s">
        <v>970</v>
      </c>
      <c r="T284" s="17"/>
      <c r="W284" s="46" t="s">
        <v>971</v>
      </c>
    </row>
    <row r="285" spans="1:23">
      <c r="B285" t="s">
        <v>384</v>
      </c>
      <c r="C285">
        <v>2024</v>
      </c>
      <c r="D285" s="2">
        <v>45607</v>
      </c>
      <c r="E285" t="s">
        <v>1897</v>
      </c>
      <c r="H285" t="s">
        <v>1633</v>
      </c>
      <c r="I285" t="s">
        <v>973</v>
      </c>
      <c r="J285" t="s">
        <v>968</v>
      </c>
      <c r="R285" t="s">
        <v>1171</v>
      </c>
      <c r="T285" s="17"/>
    </row>
    <row r="286" spans="1:23">
      <c r="A286">
        <v>245</v>
      </c>
      <c r="B286" t="s">
        <v>384</v>
      </c>
      <c r="C286">
        <v>2024</v>
      </c>
      <c r="D286" t="s">
        <v>1536</v>
      </c>
      <c r="E286" t="s">
        <v>1900</v>
      </c>
      <c r="F286" t="s">
        <v>1901</v>
      </c>
      <c r="G286" t="s">
        <v>1902</v>
      </c>
      <c r="H286" t="s">
        <v>1633</v>
      </c>
      <c r="I286" t="s">
        <v>973</v>
      </c>
      <c r="J286" t="s">
        <v>1119</v>
      </c>
      <c r="R286" t="s">
        <v>32</v>
      </c>
      <c r="T286" s="17">
        <v>1300000</v>
      </c>
    </row>
    <row r="287" spans="1:23">
      <c r="A287">
        <v>246</v>
      </c>
      <c r="B287" t="s">
        <v>384</v>
      </c>
      <c r="C287">
        <v>2024</v>
      </c>
      <c r="D287" t="s">
        <v>1536</v>
      </c>
      <c r="E287" t="s">
        <v>1903</v>
      </c>
      <c r="F287" t="s">
        <v>1904</v>
      </c>
      <c r="G287" t="s">
        <v>1905</v>
      </c>
      <c r="H287" t="s">
        <v>1633</v>
      </c>
      <c r="I287" t="s">
        <v>973</v>
      </c>
      <c r="J287" t="s">
        <v>1119</v>
      </c>
      <c r="R287" t="s">
        <v>32</v>
      </c>
      <c r="T287" s="17">
        <v>1300000</v>
      </c>
    </row>
    <row r="288" spans="1:23">
      <c r="A288">
        <v>248</v>
      </c>
      <c r="B288" t="s">
        <v>384</v>
      </c>
      <c r="C288">
        <v>2024</v>
      </c>
      <c r="D288" t="s">
        <v>1192</v>
      </c>
      <c r="E288" t="s">
        <v>1193</v>
      </c>
      <c r="F288" t="s">
        <v>392</v>
      </c>
      <c r="G288" t="s">
        <v>1194</v>
      </c>
      <c r="H288" t="s">
        <v>1633</v>
      </c>
      <c r="I288" t="s">
        <v>973</v>
      </c>
      <c r="J288" t="s">
        <v>968</v>
      </c>
      <c r="M288" s="45" t="s">
        <v>1906</v>
      </c>
      <c r="R288" t="s">
        <v>32</v>
      </c>
      <c r="T288" s="17">
        <v>1013000</v>
      </c>
      <c r="W288" s="46" t="s">
        <v>971</v>
      </c>
    </row>
    <row r="289" spans="1:23">
      <c r="A289">
        <v>252</v>
      </c>
      <c r="B289" t="s">
        <v>384</v>
      </c>
      <c r="C289">
        <v>2024</v>
      </c>
      <c r="D289" t="s">
        <v>1907</v>
      </c>
      <c r="E289" s="12" t="s">
        <v>1908</v>
      </c>
      <c r="F289" s="25" t="s">
        <v>1909</v>
      </c>
      <c r="G289" s="12" t="s">
        <v>1910</v>
      </c>
      <c r="H289" t="s">
        <v>1633</v>
      </c>
      <c r="I289" t="s">
        <v>973</v>
      </c>
      <c r="J289" t="s">
        <v>968</v>
      </c>
      <c r="M289" t="s">
        <v>1911</v>
      </c>
      <c r="N289" s="64">
        <v>2076275896</v>
      </c>
      <c r="R289" t="s">
        <v>32</v>
      </c>
      <c r="T289" s="17">
        <v>1489000</v>
      </c>
      <c r="W289" s="46" t="s">
        <v>971</v>
      </c>
    </row>
    <row r="290" spans="1:23">
      <c r="A290">
        <v>254</v>
      </c>
      <c r="B290" t="s">
        <v>408</v>
      </c>
      <c r="C290">
        <v>2024</v>
      </c>
      <c r="D290" s="2">
        <v>45394</v>
      </c>
      <c r="E290" s="12" t="s">
        <v>1912</v>
      </c>
      <c r="F290" s="12" t="s">
        <v>1913</v>
      </c>
      <c r="G290" s="12" t="s">
        <v>1914</v>
      </c>
      <c r="H290" t="s">
        <v>1633</v>
      </c>
      <c r="I290" t="s">
        <v>973</v>
      </c>
      <c r="R290" t="s">
        <v>1171</v>
      </c>
      <c r="T290" s="17">
        <v>1500000</v>
      </c>
    </row>
    <row r="291" spans="1:23">
      <c r="A291">
        <v>257</v>
      </c>
      <c r="B291" t="s">
        <v>408</v>
      </c>
      <c r="C291">
        <v>2024</v>
      </c>
      <c r="D291" s="2">
        <v>45455</v>
      </c>
      <c r="E291" t="s">
        <v>1915</v>
      </c>
      <c r="F291" s="12" t="s">
        <v>418</v>
      </c>
      <c r="G291" s="12" t="s">
        <v>1916</v>
      </c>
      <c r="H291" t="s">
        <v>1633</v>
      </c>
      <c r="I291" t="s">
        <v>973</v>
      </c>
      <c r="J291" t="s">
        <v>1119</v>
      </c>
      <c r="M291" t="s">
        <v>1917</v>
      </c>
      <c r="R291" t="s">
        <v>1171</v>
      </c>
      <c r="T291" s="40">
        <v>1049000</v>
      </c>
    </row>
    <row r="292" spans="1:23">
      <c r="A292">
        <v>259</v>
      </c>
      <c r="B292" t="s">
        <v>408</v>
      </c>
      <c r="C292">
        <v>2024</v>
      </c>
      <c r="D292" s="2">
        <v>45455</v>
      </c>
      <c r="E292" s="12" t="s">
        <v>1199</v>
      </c>
      <c r="F292" s="12" t="s">
        <v>415</v>
      </c>
      <c r="G292" s="12" t="s">
        <v>1200</v>
      </c>
      <c r="H292" t="s">
        <v>1633</v>
      </c>
      <c r="I292" t="s">
        <v>973</v>
      </c>
      <c r="J292" t="s">
        <v>968</v>
      </c>
      <c r="M292" t="s">
        <v>1918</v>
      </c>
      <c r="R292" t="s">
        <v>1171</v>
      </c>
      <c r="T292" s="40">
        <v>729000</v>
      </c>
    </row>
    <row r="293" spans="1:23">
      <c r="A293">
        <v>261</v>
      </c>
      <c r="B293" t="s">
        <v>408</v>
      </c>
      <c r="C293">
        <v>2024</v>
      </c>
      <c r="D293" s="2">
        <v>45577</v>
      </c>
      <c r="E293" t="s">
        <v>1919</v>
      </c>
      <c r="F293" t="s">
        <v>1920</v>
      </c>
      <c r="G293" t="s">
        <v>1921</v>
      </c>
      <c r="H293" t="s">
        <v>1633</v>
      </c>
      <c r="I293" t="s">
        <v>973</v>
      </c>
      <c r="J293" t="s">
        <v>968</v>
      </c>
      <c r="M293" t="s">
        <v>1922</v>
      </c>
      <c r="R293" t="s">
        <v>1171</v>
      </c>
      <c r="T293" s="17">
        <v>1620000</v>
      </c>
      <c r="W293" s="46"/>
    </row>
    <row r="294" spans="1:23">
      <c r="A294">
        <v>264</v>
      </c>
      <c r="B294" t="s">
        <v>408</v>
      </c>
      <c r="C294">
        <v>2024</v>
      </c>
      <c r="D294" s="2" t="s">
        <v>1688</v>
      </c>
      <c r="E294" s="12" t="s">
        <v>1923</v>
      </c>
      <c r="F294" s="49" t="s">
        <v>425</v>
      </c>
      <c r="G294" s="12" t="s">
        <v>1924</v>
      </c>
      <c r="H294" t="s">
        <v>1633</v>
      </c>
      <c r="I294" t="s">
        <v>973</v>
      </c>
      <c r="J294" t="s">
        <v>968</v>
      </c>
      <c r="K294" s="70">
        <v>46022</v>
      </c>
      <c r="L294">
        <f ca="1">K294-TODAY()</f>
        <v>-236</v>
      </c>
      <c r="M294" t="s">
        <v>1925</v>
      </c>
      <c r="N294" s="64">
        <v>2076720608</v>
      </c>
      <c r="P294" t="s">
        <v>1926</v>
      </c>
      <c r="R294" t="s">
        <v>970</v>
      </c>
      <c r="T294" s="50">
        <v>449000</v>
      </c>
      <c r="W294" s="46" t="s">
        <v>971</v>
      </c>
    </row>
    <row r="295" spans="1:23">
      <c r="A295">
        <v>266</v>
      </c>
      <c r="B295" t="s">
        <v>408</v>
      </c>
      <c r="C295">
        <v>2024</v>
      </c>
      <c r="D295" s="2" t="s">
        <v>1688</v>
      </c>
      <c r="E295" s="12" t="s">
        <v>1927</v>
      </c>
      <c r="F295" s="12" t="s">
        <v>1928</v>
      </c>
      <c r="G295" s="12" t="s">
        <v>1929</v>
      </c>
      <c r="H295" t="s">
        <v>1633</v>
      </c>
      <c r="I295" t="s">
        <v>973</v>
      </c>
      <c r="J295" t="s">
        <v>968</v>
      </c>
      <c r="L295">
        <f ca="1">K295-TODAY()</f>
        <v>-46258</v>
      </c>
      <c r="R295" t="s">
        <v>1171</v>
      </c>
      <c r="T295" s="40">
        <v>6530400</v>
      </c>
      <c r="W295" s="46" t="s">
        <v>971</v>
      </c>
    </row>
    <row r="296" spans="1:23">
      <c r="A296">
        <v>267</v>
      </c>
      <c r="B296" t="s">
        <v>408</v>
      </c>
      <c r="C296">
        <v>2024</v>
      </c>
      <c r="D296" s="2" t="s">
        <v>1688</v>
      </c>
      <c r="E296" s="12" t="s">
        <v>1927</v>
      </c>
      <c r="F296" s="12" t="s">
        <v>1928</v>
      </c>
      <c r="G296" s="12" t="s">
        <v>1929</v>
      </c>
      <c r="H296" t="s">
        <v>1633</v>
      </c>
      <c r="I296" t="s">
        <v>973</v>
      </c>
      <c r="J296" t="s">
        <v>968</v>
      </c>
      <c r="L296">
        <f ca="1">K296-TODAY()</f>
        <v>-46258</v>
      </c>
      <c r="R296" t="s">
        <v>1171</v>
      </c>
      <c r="T296" s="40">
        <v>6530400</v>
      </c>
    </row>
    <row r="297" spans="1:23">
      <c r="A297">
        <v>3</v>
      </c>
      <c r="B297" t="s">
        <v>23</v>
      </c>
      <c r="C297">
        <v>2024</v>
      </c>
      <c r="D297" s="2">
        <v>45294</v>
      </c>
      <c r="E297" t="s">
        <v>1930</v>
      </c>
      <c r="F297" t="s">
        <v>1931</v>
      </c>
      <c r="G297" t="s">
        <v>1932</v>
      </c>
      <c r="H297" t="s">
        <v>1135</v>
      </c>
      <c r="I297" t="s">
        <v>973</v>
      </c>
      <c r="J297" t="s">
        <v>968</v>
      </c>
      <c r="M297" t="s">
        <v>1933</v>
      </c>
      <c r="N297" s="64" t="s">
        <v>1934</v>
      </c>
      <c r="R297" t="s">
        <v>970</v>
      </c>
      <c r="T297" s="17">
        <v>1038960</v>
      </c>
      <c r="U297" t="s">
        <v>1935</v>
      </c>
      <c r="V297" s="2">
        <v>45299</v>
      </c>
    </row>
    <row r="298" spans="1:23">
      <c r="A298">
        <v>5</v>
      </c>
      <c r="B298" t="s">
        <v>23</v>
      </c>
      <c r="C298">
        <v>2024</v>
      </c>
      <c r="D298" s="2">
        <v>45299</v>
      </c>
      <c r="E298" t="s">
        <v>1936</v>
      </c>
      <c r="F298" t="s">
        <v>1937</v>
      </c>
      <c r="G298" t="s">
        <v>1938</v>
      </c>
      <c r="H298" t="s">
        <v>1135</v>
      </c>
      <c r="I298" t="s">
        <v>973</v>
      </c>
      <c r="J298" t="s">
        <v>968</v>
      </c>
      <c r="M298" t="s">
        <v>1939</v>
      </c>
      <c r="N298" s="64" t="s">
        <v>1940</v>
      </c>
      <c r="R298" t="s">
        <v>970</v>
      </c>
      <c r="T298" s="17">
        <v>17673000</v>
      </c>
      <c r="U298" t="s">
        <v>1941</v>
      </c>
      <c r="V298" s="2">
        <v>45307</v>
      </c>
    </row>
    <row r="299" spans="1:23">
      <c r="A299">
        <v>6</v>
      </c>
      <c r="B299" t="s">
        <v>23</v>
      </c>
      <c r="C299">
        <v>2024</v>
      </c>
      <c r="D299" s="2">
        <v>45299</v>
      </c>
      <c r="E299" t="s">
        <v>1942</v>
      </c>
      <c r="F299" t="s">
        <v>1937</v>
      </c>
      <c r="G299" t="s">
        <v>1938</v>
      </c>
      <c r="H299" t="s">
        <v>1135</v>
      </c>
      <c r="I299" t="s">
        <v>973</v>
      </c>
      <c r="J299" t="s">
        <v>968</v>
      </c>
      <c r="M299" t="s">
        <v>1943</v>
      </c>
      <c r="N299" s="64" t="s">
        <v>1944</v>
      </c>
      <c r="R299" t="s">
        <v>970</v>
      </c>
      <c r="T299" s="17">
        <v>17673000</v>
      </c>
      <c r="U299" t="s">
        <v>1945</v>
      </c>
      <c r="V299" s="2">
        <v>45352</v>
      </c>
      <c r="W299" s="46" t="s">
        <v>971</v>
      </c>
    </row>
    <row r="300" spans="1:23">
      <c r="A300">
        <v>36</v>
      </c>
      <c r="B300" t="s">
        <v>96</v>
      </c>
      <c r="C300">
        <v>2024</v>
      </c>
      <c r="D300" s="2">
        <v>45328</v>
      </c>
      <c r="E300" t="s">
        <v>1946</v>
      </c>
      <c r="F300" t="s">
        <v>1947</v>
      </c>
      <c r="G300" t="s">
        <v>1948</v>
      </c>
      <c r="H300" t="s">
        <v>1135</v>
      </c>
      <c r="I300" t="s">
        <v>973</v>
      </c>
      <c r="J300" t="s">
        <v>968</v>
      </c>
      <c r="M300" t="s">
        <v>1949</v>
      </c>
      <c r="N300" s="64" t="s">
        <v>1950</v>
      </c>
      <c r="R300" t="s">
        <v>970</v>
      </c>
      <c r="T300" s="17">
        <v>2886000</v>
      </c>
      <c r="W300" s="46" t="s">
        <v>971</v>
      </c>
    </row>
    <row r="301" spans="1:23">
      <c r="A301">
        <v>42</v>
      </c>
      <c r="B301" t="s">
        <v>96</v>
      </c>
      <c r="C301">
        <v>2024</v>
      </c>
      <c r="D301" s="2">
        <v>45337</v>
      </c>
      <c r="E301" t="s">
        <v>1951</v>
      </c>
      <c r="F301" t="s">
        <v>1952</v>
      </c>
      <c r="G301" t="s">
        <v>1953</v>
      </c>
      <c r="H301" t="s">
        <v>1135</v>
      </c>
      <c r="I301" t="s">
        <v>973</v>
      </c>
      <c r="J301" t="s">
        <v>968</v>
      </c>
      <c r="M301" t="s">
        <v>1954</v>
      </c>
      <c r="R301" t="s">
        <v>970</v>
      </c>
      <c r="T301" s="17">
        <v>9112000</v>
      </c>
      <c r="W301" s="46" t="s">
        <v>971</v>
      </c>
    </row>
    <row r="302" spans="1:23">
      <c r="B302" t="s">
        <v>96</v>
      </c>
      <c r="C302">
        <v>2024</v>
      </c>
      <c r="D302" s="2">
        <v>45345</v>
      </c>
      <c r="E302" t="s">
        <v>1955</v>
      </c>
      <c r="H302" t="s">
        <v>1135</v>
      </c>
      <c r="I302" t="s">
        <v>973</v>
      </c>
      <c r="J302" t="s">
        <v>968</v>
      </c>
      <c r="M302" t="s">
        <v>1956</v>
      </c>
      <c r="N302" s="64">
        <v>1660843509</v>
      </c>
      <c r="O302">
        <v>1589793785</v>
      </c>
      <c r="R302" t="s">
        <v>970</v>
      </c>
      <c r="T302" s="17"/>
      <c r="V302" t="s">
        <v>1957</v>
      </c>
      <c r="W302" s="46" t="s">
        <v>971</v>
      </c>
    </row>
    <row r="303" spans="1:23">
      <c r="A303">
        <v>52</v>
      </c>
      <c r="B303" t="s">
        <v>144</v>
      </c>
      <c r="C303">
        <v>2024</v>
      </c>
      <c r="D303" s="2">
        <v>45357</v>
      </c>
      <c r="E303" t="s">
        <v>1958</v>
      </c>
      <c r="F303" t="s">
        <v>1959</v>
      </c>
      <c r="G303" t="s">
        <v>1960</v>
      </c>
      <c r="H303" t="s">
        <v>1135</v>
      </c>
      <c r="I303" t="s">
        <v>973</v>
      </c>
      <c r="J303" t="s">
        <v>968</v>
      </c>
      <c r="M303" t="s">
        <v>1961</v>
      </c>
      <c r="N303" s="64" t="s">
        <v>1567</v>
      </c>
      <c r="R303" t="s">
        <v>970</v>
      </c>
      <c r="T303" s="17">
        <v>83195630</v>
      </c>
    </row>
    <row r="304" spans="1:23">
      <c r="A304">
        <v>53</v>
      </c>
      <c r="B304" t="s">
        <v>144</v>
      </c>
      <c r="C304">
        <v>2024</v>
      </c>
      <c r="D304" s="2">
        <v>45358</v>
      </c>
      <c r="E304" t="s">
        <v>1962</v>
      </c>
      <c r="F304" t="s">
        <v>1963</v>
      </c>
      <c r="G304" t="s">
        <v>1964</v>
      </c>
      <c r="H304" t="s">
        <v>1135</v>
      </c>
      <c r="I304" t="s">
        <v>973</v>
      </c>
      <c r="J304" t="s">
        <v>968</v>
      </c>
      <c r="M304" t="s">
        <v>1965</v>
      </c>
      <c r="N304" s="64" t="s">
        <v>1966</v>
      </c>
      <c r="R304" t="s">
        <v>970</v>
      </c>
      <c r="T304" s="17">
        <v>7701900</v>
      </c>
    </row>
    <row r="305" spans="1:23">
      <c r="A305">
        <v>54</v>
      </c>
      <c r="B305" t="s">
        <v>144</v>
      </c>
      <c r="C305">
        <v>2024</v>
      </c>
      <c r="D305" s="2">
        <v>45358</v>
      </c>
      <c r="E305" t="s">
        <v>1967</v>
      </c>
      <c r="F305" t="s">
        <v>1968</v>
      </c>
      <c r="G305" t="s">
        <v>1969</v>
      </c>
      <c r="H305" t="s">
        <v>1135</v>
      </c>
      <c r="I305" t="s">
        <v>973</v>
      </c>
      <c r="J305" t="s">
        <v>968</v>
      </c>
      <c r="M305" t="s">
        <v>1965</v>
      </c>
      <c r="N305" s="64" t="s">
        <v>1970</v>
      </c>
      <c r="R305" t="s">
        <v>970</v>
      </c>
      <c r="T305" s="17">
        <v>2623500</v>
      </c>
      <c r="U305" t="s">
        <v>1971</v>
      </c>
      <c r="V305" s="2">
        <v>45370</v>
      </c>
    </row>
    <row r="306" spans="1:23">
      <c r="A306">
        <v>64</v>
      </c>
      <c r="B306" t="s">
        <v>144</v>
      </c>
      <c r="C306">
        <v>2024</v>
      </c>
      <c r="D306" s="2">
        <v>45374</v>
      </c>
      <c r="E306" t="s">
        <v>1972</v>
      </c>
      <c r="F306" t="s">
        <v>1973</v>
      </c>
      <c r="G306" t="s">
        <v>1974</v>
      </c>
      <c r="H306" t="s">
        <v>1135</v>
      </c>
      <c r="I306" t="s">
        <v>973</v>
      </c>
      <c r="J306" t="s">
        <v>968</v>
      </c>
      <c r="N306" s="64" t="s">
        <v>1558</v>
      </c>
      <c r="R306" t="s">
        <v>970</v>
      </c>
      <c r="T306" s="17">
        <v>108600000</v>
      </c>
    </row>
    <row r="307" spans="1:23">
      <c r="A307">
        <v>65</v>
      </c>
      <c r="B307" t="s">
        <v>144</v>
      </c>
      <c r="C307">
        <v>2024</v>
      </c>
      <c r="D307" s="2">
        <v>45374</v>
      </c>
      <c r="E307" t="s">
        <v>1975</v>
      </c>
      <c r="F307" t="s">
        <v>1976</v>
      </c>
      <c r="G307" t="s">
        <v>1977</v>
      </c>
      <c r="H307" t="s">
        <v>1135</v>
      </c>
      <c r="I307" t="s">
        <v>973</v>
      </c>
      <c r="J307" t="s">
        <v>968</v>
      </c>
      <c r="M307" t="s">
        <v>1978</v>
      </c>
      <c r="N307" s="64" t="s">
        <v>1558</v>
      </c>
      <c r="R307" t="s">
        <v>970</v>
      </c>
      <c r="T307" s="17">
        <v>108600000</v>
      </c>
    </row>
    <row r="308" spans="1:23">
      <c r="A308">
        <v>70</v>
      </c>
      <c r="B308" t="s">
        <v>183</v>
      </c>
      <c r="C308">
        <v>2024</v>
      </c>
      <c r="D308" s="2">
        <v>45385</v>
      </c>
      <c r="E308" t="s">
        <v>1979</v>
      </c>
      <c r="F308" t="s">
        <v>177</v>
      </c>
      <c r="G308" t="s">
        <v>1980</v>
      </c>
      <c r="H308" t="s">
        <v>1135</v>
      </c>
      <c r="I308" t="s">
        <v>973</v>
      </c>
      <c r="J308" t="s">
        <v>968</v>
      </c>
      <c r="M308" t="s">
        <v>1981</v>
      </c>
      <c r="N308" s="64" t="s">
        <v>1982</v>
      </c>
      <c r="R308" t="s">
        <v>970</v>
      </c>
      <c r="T308" s="17">
        <v>13196867</v>
      </c>
      <c r="U308" t="s">
        <v>1983</v>
      </c>
      <c r="V308" s="2">
        <v>45468</v>
      </c>
    </row>
    <row r="309" spans="1:23">
      <c r="A309">
        <v>75</v>
      </c>
      <c r="B309" t="s">
        <v>183</v>
      </c>
      <c r="C309">
        <v>2024</v>
      </c>
      <c r="D309" s="2">
        <v>45400</v>
      </c>
      <c r="E309" t="s">
        <v>1984</v>
      </c>
      <c r="F309" t="s">
        <v>1985</v>
      </c>
      <c r="G309" t="s">
        <v>1986</v>
      </c>
      <c r="H309" t="s">
        <v>1135</v>
      </c>
      <c r="I309" t="s">
        <v>973</v>
      </c>
      <c r="J309" t="s">
        <v>968</v>
      </c>
      <c r="M309" t="s">
        <v>1987</v>
      </c>
      <c r="N309" s="64" t="s">
        <v>1988</v>
      </c>
      <c r="R309" t="s">
        <v>970</v>
      </c>
      <c r="T309" s="17">
        <v>108600000</v>
      </c>
    </row>
    <row r="310" spans="1:23">
      <c r="A310">
        <v>76</v>
      </c>
      <c r="B310" t="s">
        <v>183</v>
      </c>
      <c r="C310">
        <v>2024</v>
      </c>
      <c r="D310" s="2">
        <v>45401</v>
      </c>
      <c r="E310" t="s">
        <v>1989</v>
      </c>
      <c r="F310" t="s">
        <v>56</v>
      </c>
      <c r="G310" t="s">
        <v>1990</v>
      </c>
      <c r="H310" t="s">
        <v>1135</v>
      </c>
      <c r="I310" t="s">
        <v>973</v>
      </c>
      <c r="J310" t="s">
        <v>968</v>
      </c>
      <c r="M310" t="s">
        <v>1991</v>
      </c>
      <c r="N310" s="64" t="s">
        <v>1992</v>
      </c>
      <c r="R310" t="s">
        <v>970</v>
      </c>
      <c r="T310" s="17">
        <v>5615000</v>
      </c>
      <c r="U310" t="s">
        <v>1993</v>
      </c>
      <c r="V310" s="2">
        <v>45411</v>
      </c>
    </row>
    <row r="311" spans="1:23" ht="19.5" customHeight="1">
      <c r="A311">
        <v>78</v>
      </c>
      <c r="B311" t="s">
        <v>183</v>
      </c>
      <c r="C311">
        <v>2024</v>
      </c>
      <c r="D311" s="2">
        <v>45404</v>
      </c>
      <c r="E311" t="s">
        <v>1994</v>
      </c>
      <c r="F311" t="s">
        <v>1995</v>
      </c>
      <c r="G311" t="s">
        <v>1996</v>
      </c>
      <c r="H311" t="s">
        <v>1135</v>
      </c>
      <c r="I311" t="s">
        <v>973</v>
      </c>
      <c r="J311" t="s">
        <v>968</v>
      </c>
      <c r="N311" s="64" t="s">
        <v>1997</v>
      </c>
      <c r="R311" t="s">
        <v>970</v>
      </c>
      <c r="T311" s="17">
        <v>878150</v>
      </c>
    </row>
    <row r="312" spans="1:23">
      <c r="A312">
        <v>79</v>
      </c>
      <c r="B312" t="s">
        <v>183</v>
      </c>
      <c r="C312">
        <v>2024</v>
      </c>
      <c r="D312" s="2">
        <v>45405</v>
      </c>
      <c r="E312" t="s">
        <v>1998</v>
      </c>
      <c r="F312" t="s">
        <v>1999</v>
      </c>
      <c r="G312" t="s">
        <v>2000</v>
      </c>
      <c r="H312" t="s">
        <v>1135</v>
      </c>
      <c r="I312" t="s">
        <v>973</v>
      </c>
      <c r="J312" t="s">
        <v>968</v>
      </c>
      <c r="M312" t="s">
        <v>2001</v>
      </c>
      <c r="N312" s="64" t="s">
        <v>2002</v>
      </c>
      <c r="R312" t="s">
        <v>970</v>
      </c>
      <c r="T312" s="17">
        <v>2187500</v>
      </c>
      <c r="U312" t="s">
        <v>2003</v>
      </c>
      <c r="V312" s="2">
        <v>45411</v>
      </c>
    </row>
    <row r="313" spans="1:23" ht="45.75">
      <c r="B313" t="s">
        <v>212</v>
      </c>
      <c r="C313">
        <v>2024</v>
      </c>
      <c r="D313" s="2">
        <v>45434</v>
      </c>
      <c r="E313" s="44" t="s">
        <v>2004</v>
      </c>
      <c r="F313" t="s">
        <v>224</v>
      </c>
      <c r="H313" t="s">
        <v>985</v>
      </c>
      <c r="I313" t="s">
        <v>48</v>
      </c>
      <c r="J313" t="s">
        <v>968</v>
      </c>
      <c r="M313" t="s">
        <v>2005</v>
      </c>
      <c r="N313" s="72" t="s">
        <v>2006</v>
      </c>
      <c r="R313" t="s">
        <v>970</v>
      </c>
      <c r="T313" s="17"/>
      <c r="V313" s="2">
        <v>45439</v>
      </c>
      <c r="W313" s="46" t="s">
        <v>971</v>
      </c>
    </row>
    <row r="314" spans="1:23">
      <c r="A314">
        <v>103</v>
      </c>
      <c r="B314" t="s">
        <v>212</v>
      </c>
      <c r="C314">
        <v>2024</v>
      </c>
      <c r="D314" s="2">
        <v>45439</v>
      </c>
      <c r="E314" t="s">
        <v>2007</v>
      </c>
      <c r="F314" t="s">
        <v>2008</v>
      </c>
      <c r="G314" t="s">
        <v>2009</v>
      </c>
      <c r="H314" t="s">
        <v>1135</v>
      </c>
      <c r="I314" t="s">
        <v>973</v>
      </c>
      <c r="J314" t="s">
        <v>968</v>
      </c>
      <c r="N314" s="64" t="s">
        <v>2010</v>
      </c>
      <c r="R314" t="s">
        <v>970</v>
      </c>
      <c r="T314" s="17"/>
    </row>
    <row r="315" spans="1:23">
      <c r="A315">
        <v>106</v>
      </c>
      <c r="B315" t="s">
        <v>212</v>
      </c>
      <c r="C315">
        <v>2024</v>
      </c>
      <c r="D315" s="2">
        <v>45439</v>
      </c>
      <c r="E315" t="s">
        <v>2011</v>
      </c>
      <c r="F315" t="s">
        <v>2012</v>
      </c>
      <c r="G315" t="s">
        <v>2013</v>
      </c>
      <c r="H315" t="s">
        <v>1135</v>
      </c>
      <c r="I315" t="s">
        <v>973</v>
      </c>
      <c r="J315" t="s">
        <v>968</v>
      </c>
      <c r="M315" t="s">
        <v>2014</v>
      </c>
      <c r="N315" s="64" t="s">
        <v>2015</v>
      </c>
      <c r="O315" t="s">
        <v>2016</v>
      </c>
      <c r="R315" t="s">
        <v>970</v>
      </c>
      <c r="T315" s="17"/>
      <c r="W315" s="46" t="s">
        <v>971</v>
      </c>
    </row>
    <row r="316" spans="1:23">
      <c r="A316">
        <v>109</v>
      </c>
      <c r="B316" t="s">
        <v>212</v>
      </c>
      <c r="C316">
        <v>2024</v>
      </c>
      <c r="D316" s="2">
        <v>45440</v>
      </c>
      <c r="E316" t="s">
        <v>2017</v>
      </c>
      <c r="F316" t="s">
        <v>177</v>
      </c>
      <c r="G316" t="s">
        <v>2018</v>
      </c>
      <c r="H316" t="s">
        <v>1135</v>
      </c>
      <c r="I316" t="s">
        <v>973</v>
      </c>
      <c r="J316" t="s">
        <v>968</v>
      </c>
      <c r="M316" t="s">
        <v>2019</v>
      </c>
      <c r="N316" s="64" t="s">
        <v>2020</v>
      </c>
      <c r="R316" t="s">
        <v>970</v>
      </c>
      <c r="T316" s="17"/>
    </row>
    <row r="317" spans="1:23">
      <c r="A317">
        <v>129</v>
      </c>
      <c r="B317" t="s">
        <v>261</v>
      </c>
      <c r="C317">
        <v>2024</v>
      </c>
      <c r="D317" s="2">
        <v>45458</v>
      </c>
      <c r="E317" t="s">
        <v>2021</v>
      </c>
      <c r="F317" t="s">
        <v>1564</v>
      </c>
      <c r="G317" t="s">
        <v>2022</v>
      </c>
      <c r="H317" t="s">
        <v>1135</v>
      </c>
      <c r="I317" t="s">
        <v>973</v>
      </c>
      <c r="J317" t="s">
        <v>968</v>
      </c>
      <c r="T317" s="17"/>
    </row>
    <row r="318" spans="1:23">
      <c r="A318">
        <v>132</v>
      </c>
      <c r="B318" t="s">
        <v>261</v>
      </c>
      <c r="C318">
        <v>2024</v>
      </c>
      <c r="D318" s="2">
        <v>45462</v>
      </c>
      <c r="E318" t="s">
        <v>2023</v>
      </c>
      <c r="F318" t="s">
        <v>260</v>
      </c>
      <c r="G318" t="s">
        <v>2024</v>
      </c>
      <c r="H318" t="s">
        <v>1135</v>
      </c>
      <c r="I318" t="s">
        <v>973</v>
      </c>
      <c r="J318" t="s">
        <v>968</v>
      </c>
      <c r="M318" t="s">
        <v>2025</v>
      </c>
      <c r="N318" s="64" t="s">
        <v>2026</v>
      </c>
      <c r="T318" s="17"/>
    </row>
    <row r="319" spans="1:23">
      <c r="B319" t="s">
        <v>303</v>
      </c>
      <c r="C319">
        <v>2024</v>
      </c>
      <c r="D319" s="2">
        <v>45512</v>
      </c>
      <c r="E319" t="s">
        <v>2027</v>
      </c>
      <c r="H319" t="s">
        <v>967</v>
      </c>
      <c r="I319" t="s">
        <v>973</v>
      </c>
      <c r="J319" t="s">
        <v>968</v>
      </c>
      <c r="M319" t="s">
        <v>2028</v>
      </c>
      <c r="N319" s="64">
        <v>2046054866</v>
      </c>
      <c r="R319" t="s">
        <v>970</v>
      </c>
      <c r="T319" s="17"/>
      <c r="V319" s="2">
        <v>45485</v>
      </c>
      <c r="W319" s="46" t="s">
        <v>971</v>
      </c>
    </row>
    <row r="320" spans="1:23">
      <c r="A320">
        <v>197</v>
      </c>
      <c r="B320" t="s">
        <v>338</v>
      </c>
      <c r="C320">
        <v>2024</v>
      </c>
      <c r="D320" s="2">
        <v>45331</v>
      </c>
      <c r="E320" t="s">
        <v>2029</v>
      </c>
      <c r="F320" t="s">
        <v>2030</v>
      </c>
      <c r="G320" t="s">
        <v>2031</v>
      </c>
      <c r="H320" t="s">
        <v>1135</v>
      </c>
      <c r="I320" t="s">
        <v>973</v>
      </c>
      <c r="J320" t="s">
        <v>1139</v>
      </c>
      <c r="M320" s="43" t="s">
        <v>2032</v>
      </c>
      <c r="N320" s="64">
        <v>1708970640</v>
      </c>
      <c r="O320">
        <v>1709841995</v>
      </c>
      <c r="T320" s="17"/>
    </row>
    <row r="321" spans="1:23">
      <c r="A321">
        <v>200</v>
      </c>
      <c r="B321" t="s">
        <v>338</v>
      </c>
      <c r="C321">
        <v>2024</v>
      </c>
      <c r="D321" s="2">
        <v>45544</v>
      </c>
      <c r="E321" t="s">
        <v>2033</v>
      </c>
      <c r="F321" t="s">
        <v>2034</v>
      </c>
      <c r="G321" t="s">
        <v>2035</v>
      </c>
      <c r="H321" t="s">
        <v>1135</v>
      </c>
      <c r="I321" t="s">
        <v>973</v>
      </c>
      <c r="J321" t="s">
        <v>1139</v>
      </c>
      <c r="T321" s="17"/>
    </row>
    <row r="322" spans="1:23">
      <c r="A322">
        <v>209</v>
      </c>
      <c r="B322" t="s">
        <v>338</v>
      </c>
      <c r="C322">
        <v>2024</v>
      </c>
      <c r="D322" t="s">
        <v>2036</v>
      </c>
      <c r="E322" t="s">
        <v>2037</v>
      </c>
      <c r="F322" t="s">
        <v>2038</v>
      </c>
      <c r="G322" t="s">
        <v>2039</v>
      </c>
      <c r="H322" t="s">
        <v>1135</v>
      </c>
      <c r="I322" t="s">
        <v>973</v>
      </c>
      <c r="J322" t="s">
        <v>1139</v>
      </c>
      <c r="N322" s="64">
        <v>1883036085</v>
      </c>
      <c r="T322" s="17"/>
    </row>
    <row r="323" spans="1:23">
      <c r="A323">
        <v>222</v>
      </c>
      <c r="B323" t="s">
        <v>358</v>
      </c>
      <c r="C323">
        <v>2024</v>
      </c>
      <c r="D323" t="s">
        <v>2040</v>
      </c>
      <c r="E323" t="s">
        <v>2041</v>
      </c>
      <c r="H323" t="s">
        <v>1135</v>
      </c>
      <c r="I323" t="s">
        <v>973</v>
      </c>
      <c r="R323" t="s">
        <v>1171</v>
      </c>
      <c r="T323" s="17"/>
    </row>
    <row r="324" spans="1:23">
      <c r="A324">
        <v>233</v>
      </c>
      <c r="B324" t="s">
        <v>358</v>
      </c>
      <c r="C324">
        <v>2024</v>
      </c>
      <c r="D324" t="s">
        <v>1683</v>
      </c>
      <c r="E324" t="s">
        <v>2042</v>
      </c>
      <c r="F324" t="s">
        <v>2043</v>
      </c>
      <c r="G324" t="s">
        <v>2044</v>
      </c>
      <c r="H324" t="s">
        <v>1135</v>
      </c>
      <c r="I324" t="s">
        <v>973</v>
      </c>
      <c r="J324" t="s">
        <v>968</v>
      </c>
      <c r="N324" s="64">
        <v>1702971419</v>
      </c>
      <c r="R324" t="s">
        <v>2045</v>
      </c>
      <c r="T324" s="17"/>
    </row>
    <row r="325" spans="1:23">
      <c r="B325" t="s">
        <v>358</v>
      </c>
      <c r="C325">
        <v>2024</v>
      </c>
      <c r="D325" t="s">
        <v>2046</v>
      </c>
      <c r="E325" t="s">
        <v>2047</v>
      </c>
      <c r="H325" t="s">
        <v>1364</v>
      </c>
      <c r="I325" t="s">
        <v>48</v>
      </c>
      <c r="J325" t="s">
        <v>968</v>
      </c>
      <c r="M325" t="s">
        <v>2048</v>
      </c>
      <c r="N325" s="64" t="s">
        <v>2049</v>
      </c>
      <c r="R325" t="s">
        <v>970</v>
      </c>
      <c r="T325" s="17"/>
      <c r="W325" s="46" t="s">
        <v>971</v>
      </c>
    </row>
    <row r="326" spans="1:23">
      <c r="B326" t="s">
        <v>358</v>
      </c>
      <c r="C326">
        <v>2024</v>
      </c>
      <c r="D326" t="s">
        <v>2046</v>
      </c>
      <c r="E326" t="s">
        <v>2050</v>
      </c>
      <c r="H326" t="s">
        <v>1364</v>
      </c>
      <c r="I326" t="s">
        <v>48</v>
      </c>
      <c r="J326" t="s">
        <v>968</v>
      </c>
      <c r="M326" t="s">
        <v>2051</v>
      </c>
      <c r="N326" s="64">
        <v>888355406221</v>
      </c>
      <c r="R326" t="s">
        <v>970</v>
      </c>
      <c r="T326" s="17"/>
      <c r="W326" s="46" t="s">
        <v>971</v>
      </c>
    </row>
    <row r="327" spans="1:23">
      <c r="B327" t="s">
        <v>358</v>
      </c>
      <c r="C327">
        <v>2024</v>
      </c>
      <c r="D327" t="s">
        <v>2046</v>
      </c>
      <c r="E327" t="s">
        <v>2052</v>
      </c>
      <c r="H327" t="s">
        <v>967</v>
      </c>
      <c r="I327" t="s">
        <v>48</v>
      </c>
      <c r="J327" t="s">
        <v>968</v>
      </c>
      <c r="M327" t="s">
        <v>2053</v>
      </c>
      <c r="N327" s="64">
        <v>888071217717</v>
      </c>
      <c r="R327" t="s">
        <v>970</v>
      </c>
      <c r="T327" s="17"/>
      <c r="W327" s="46" t="s">
        <v>971</v>
      </c>
    </row>
    <row r="328" spans="1:23">
      <c r="A328">
        <v>238</v>
      </c>
      <c r="B328" t="s">
        <v>384</v>
      </c>
      <c r="C328">
        <v>2024</v>
      </c>
      <c r="D328" s="2">
        <v>45393</v>
      </c>
      <c r="E328" t="s">
        <v>2054</v>
      </c>
      <c r="F328" t="s">
        <v>305</v>
      </c>
      <c r="G328" t="s">
        <v>2055</v>
      </c>
      <c r="H328" t="s">
        <v>1135</v>
      </c>
      <c r="I328" t="s">
        <v>973</v>
      </c>
      <c r="J328" t="s">
        <v>968</v>
      </c>
      <c r="N328" s="64">
        <v>2022273984</v>
      </c>
      <c r="O328">
        <v>2022274007</v>
      </c>
      <c r="R328" t="s">
        <v>1171</v>
      </c>
      <c r="T328" s="17">
        <v>191000</v>
      </c>
    </row>
    <row r="329" spans="1:23">
      <c r="A329">
        <v>250</v>
      </c>
      <c r="B329" t="s">
        <v>384</v>
      </c>
      <c r="C329">
        <v>2024</v>
      </c>
      <c r="D329" t="s">
        <v>2056</v>
      </c>
      <c r="E329" t="s">
        <v>2057</v>
      </c>
      <c r="F329" t="s">
        <v>85</v>
      </c>
      <c r="G329" t="s">
        <v>2058</v>
      </c>
      <c r="H329" t="s">
        <v>1135</v>
      </c>
      <c r="I329" t="s">
        <v>973</v>
      </c>
      <c r="J329" t="s">
        <v>968</v>
      </c>
      <c r="M329" t="s">
        <v>2059</v>
      </c>
      <c r="N329" s="64">
        <v>1758421735</v>
      </c>
      <c r="R329" t="s">
        <v>970</v>
      </c>
      <c r="T329" s="17">
        <v>2450000</v>
      </c>
      <c r="W329" s="46" t="s">
        <v>971</v>
      </c>
    </row>
    <row r="330" spans="1:23">
      <c r="A330">
        <v>251</v>
      </c>
      <c r="B330" t="s">
        <v>384</v>
      </c>
      <c r="C330">
        <v>2024</v>
      </c>
      <c r="D330" t="s">
        <v>2056</v>
      </c>
      <c r="E330" t="s">
        <v>2060</v>
      </c>
      <c r="F330" t="s">
        <v>368</v>
      </c>
      <c r="G330" t="s">
        <v>2061</v>
      </c>
      <c r="H330" t="s">
        <v>1135</v>
      </c>
      <c r="I330" t="s">
        <v>973</v>
      </c>
      <c r="J330" t="s">
        <v>1119</v>
      </c>
      <c r="N330" s="64">
        <v>152306103296</v>
      </c>
      <c r="O330" s="64"/>
      <c r="P330" s="64"/>
      <c r="R330" t="s">
        <v>1171</v>
      </c>
      <c r="T330" s="17">
        <v>439000</v>
      </c>
    </row>
    <row r="331" spans="1:23">
      <c r="A331">
        <v>255</v>
      </c>
      <c r="B331" t="s">
        <v>408</v>
      </c>
      <c r="C331">
        <v>2024</v>
      </c>
      <c r="D331" s="2">
        <v>45424</v>
      </c>
      <c r="E331" s="90" t="s">
        <v>2062</v>
      </c>
      <c r="F331" t="s">
        <v>325</v>
      </c>
      <c r="G331" s="36" t="s">
        <v>2063</v>
      </c>
      <c r="H331" t="s">
        <v>1135</v>
      </c>
      <c r="I331" t="s">
        <v>973</v>
      </c>
      <c r="J331" t="s">
        <v>968</v>
      </c>
      <c r="M331" s="43" t="s">
        <v>2064</v>
      </c>
      <c r="R331" t="s">
        <v>1171</v>
      </c>
      <c r="T331" s="17"/>
    </row>
    <row r="332" spans="1:23" ht="60.75">
      <c r="A332">
        <v>256</v>
      </c>
      <c r="B332" t="s">
        <v>408</v>
      </c>
      <c r="C332">
        <v>2024</v>
      </c>
      <c r="D332" s="2">
        <v>45424</v>
      </c>
      <c r="E332" t="s">
        <v>2062</v>
      </c>
      <c r="F332" t="s">
        <v>325</v>
      </c>
      <c r="G332" s="36" t="s">
        <v>2063</v>
      </c>
      <c r="H332" t="s">
        <v>1180</v>
      </c>
      <c r="I332" t="s">
        <v>48</v>
      </c>
      <c r="J332" t="s">
        <v>968</v>
      </c>
      <c r="M332" s="44" t="s">
        <v>2065</v>
      </c>
      <c r="R332" t="s">
        <v>32</v>
      </c>
      <c r="T332" s="17">
        <v>1160000</v>
      </c>
      <c r="W332" s="46" t="s">
        <v>971</v>
      </c>
    </row>
    <row r="333" spans="1:23">
      <c r="B333" t="s">
        <v>408</v>
      </c>
      <c r="C333">
        <v>2024</v>
      </c>
      <c r="D333" s="2">
        <v>45577</v>
      </c>
      <c r="E333" t="s">
        <v>2066</v>
      </c>
      <c r="G333" s="36"/>
      <c r="H333" t="s">
        <v>967</v>
      </c>
      <c r="I333" t="s">
        <v>973</v>
      </c>
      <c r="J333" t="s">
        <v>968</v>
      </c>
      <c r="M333" s="44" t="s">
        <v>1922</v>
      </c>
      <c r="N333" s="64">
        <v>2076338937</v>
      </c>
      <c r="O333">
        <v>2076333619</v>
      </c>
      <c r="R333" t="s">
        <v>32</v>
      </c>
      <c r="T333" s="17"/>
      <c r="V333" s="2">
        <v>45638</v>
      </c>
      <c r="W333" s="46" t="s">
        <v>971</v>
      </c>
    </row>
    <row r="334" spans="1:23">
      <c r="A334">
        <v>265</v>
      </c>
      <c r="B334" t="s">
        <v>408</v>
      </c>
      <c r="C334">
        <v>2024</v>
      </c>
      <c r="D334" s="2" t="s">
        <v>1688</v>
      </c>
      <c r="E334" s="12" t="s">
        <v>2067</v>
      </c>
      <c r="F334" s="51" t="s">
        <v>331</v>
      </c>
      <c r="G334" s="12" t="s">
        <v>2068</v>
      </c>
      <c r="H334" t="s">
        <v>1135</v>
      </c>
      <c r="I334" t="s">
        <v>973</v>
      </c>
      <c r="J334" t="s">
        <v>968</v>
      </c>
      <c r="L334">
        <f ca="1">K334-TODAY()</f>
        <v>-46258</v>
      </c>
      <c r="M334" s="43" t="s">
        <v>2069</v>
      </c>
      <c r="R334" t="s">
        <v>1171</v>
      </c>
      <c r="T334" s="50">
        <v>2606600</v>
      </c>
    </row>
    <row r="335" spans="1:23">
      <c r="B335" t="s">
        <v>408</v>
      </c>
      <c r="C335">
        <v>2024</v>
      </c>
      <c r="D335" s="2" t="s">
        <v>2070</v>
      </c>
      <c r="E335" s="12" t="s">
        <v>2071</v>
      </c>
      <c r="F335" s="51"/>
      <c r="G335" s="12"/>
      <c r="H335" t="s">
        <v>967</v>
      </c>
      <c r="I335" t="s">
        <v>48</v>
      </c>
      <c r="J335" t="s">
        <v>968</v>
      </c>
      <c r="M335" s="43" t="s">
        <v>2072</v>
      </c>
      <c r="N335" s="64">
        <v>888230850253</v>
      </c>
      <c r="R335" t="s">
        <v>970</v>
      </c>
      <c r="T335" s="50"/>
      <c r="V335" t="s">
        <v>2073</v>
      </c>
      <c r="W335" s="46" t="s">
        <v>971</v>
      </c>
    </row>
    <row r="336" spans="1:23">
      <c r="B336" t="s">
        <v>408</v>
      </c>
      <c r="C336">
        <v>2024</v>
      </c>
      <c r="D336" s="2" t="s">
        <v>2074</v>
      </c>
      <c r="E336" s="12" t="s">
        <v>2075</v>
      </c>
      <c r="F336" s="51" t="s">
        <v>449</v>
      </c>
      <c r="G336" s="12"/>
      <c r="H336" t="s">
        <v>967</v>
      </c>
      <c r="I336" t="s">
        <v>48</v>
      </c>
      <c r="J336" t="s">
        <v>968</v>
      </c>
      <c r="M336" s="43" t="s">
        <v>2076</v>
      </c>
      <c r="N336" s="64">
        <v>888011425525</v>
      </c>
      <c r="R336" t="s">
        <v>970</v>
      </c>
      <c r="T336" s="50"/>
      <c r="W336" s="46" t="s">
        <v>971</v>
      </c>
    </row>
    <row r="337" spans="1:23" ht="15.75">
      <c r="B337" t="s">
        <v>408</v>
      </c>
      <c r="C337">
        <v>2024</v>
      </c>
      <c r="D337" s="2" t="s">
        <v>2077</v>
      </c>
      <c r="E337" s="12" t="s">
        <v>2078</v>
      </c>
      <c r="F337" s="51" t="s">
        <v>449</v>
      </c>
      <c r="G337" s="12" t="s">
        <v>2079</v>
      </c>
      <c r="H337" t="s">
        <v>1633</v>
      </c>
      <c r="I337" t="s">
        <v>973</v>
      </c>
      <c r="J337" t="s">
        <v>968</v>
      </c>
      <c r="M337" s="132" t="s">
        <v>2080</v>
      </c>
      <c r="N337" s="132">
        <v>2077231059</v>
      </c>
      <c r="R337" t="s">
        <v>970</v>
      </c>
      <c r="T337" s="50">
        <v>2886000</v>
      </c>
      <c r="W337" s="46"/>
    </row>
    <row r="338" spans="1:23" ht="15.75">
      <c r="B338" t="s">
        <v>408</v>
      </c>
      <c r="C338">
        <v>2024</v>
      </c>
      <c r="D338" s="2" t="s">
        <v>2077</v>
      </c>
      <c r="E338" s="12" t="s">
        <v>2081</v>
      </c>
      <c r="F338" s="51" t="s">
        <v>449</v>
      </c>
      <c r="G338" s="12" t="s">
        <v>2079</v>
      </c>
      <c r="H338" t="s">
        <v>1633</v>
      </c>
      <c r="I338" t="s">
        <v>973</v>
      </c>
      <c r="J338" t="s">
        <v>968</v>
      </c>
      <c r="M338" s="132" t="s">
        <v>2082</v>
      </c>
      <c r="N338" s="64">
        <v>2077124569</v>
      </c>
      <c r="R338" t="s">
        <v>970</v>
      </c>
      <c r="T338" s="50">
        <v>903000</v>
      </c>
      <c r="W338" s="46"/>
    </row>
    <row r="339" spans="1:23">
      <c r="A339">
        <v>178</v>
      </c>
      <c r="B339" t="s">
        <v>303</v>
      </c>
      <c r="C339">
        <v>2024</v>
      </c>
      <c r="D339" s="2">
        <v>45451</v>
      </c>
      <c r="E339" t="s">
        <v>2083</v>
      </c>
      <c r="M339" t="s">
        <v>2084</v>
      </c>
      <c r="N339" s="64" t="s">
        <v>2085</v>
      </c>
      <c r="T339" s="17"/>
    </row>
    <row r="340" spans="1:23">
      <c r="A340">
        <v>179</v>
      </c>
      <c r="B340" t="s">
        <v>303</v>
      </c>
      <c r="C340">
        <v>2024</v>
      </c>
      <c r="D340" s="2" t="s">
        <v>1106</v>
      </c>
      <c r="E340" t="s">
        <v>2086</v>
      </c>
      <c r="H340" t="s">
        <v>1633</v>
      </c>
      <c r="I340" t="s">
        <v>973</v>
      </c>
      <c r="J340" t="s">
        <v>968</v>
      </c>
      <c r="M340" t="s">
        <v>1123</v>
      </c>
      <c r="T340" s="17"/>
    </row>
    <row r="341" spans="1:23">
      <c r="A341">
        <v>181</v>
      </c>
      <c r="B341" t="s">
        <v>303</v>
      </c>
      <c r="C341">
        <v>2024</v>
      </c>
      <c r="T341" s="17"/>
    </row>
    <row r="342" spans="1:23" ht="22.5" customHeight="1">
      <c r="A342">
        <v>185</v>
      </c>
      <c r="B342" t="s">
        <v>303</v>
      </c>
      <c r="C342">
        <v>2024</v>
      </c>
      <c r="T342" s="17"/>
    </row>
    <row r="343" spans="1:23">
      <c r="A343">
        <v>186</v>
      </c>
      <c r="B343" t="s">
        <v>303</v>
      </c>
      <c r="C343">
        <v>2024</v>
      </c>
      <c r="T343" s="17"/>
    </row>
    <row r="344" spans="1:23">
      <c r="A344">
        <v>189</v>
      </c>
      <c r="B344" t="s">
        <v>303</v>
      </c>
      <c r="C344">
        <v>2024</v>
      </c>
      <c r="T344" s="17"/>
    </row>
    <row r="345" spans="1:23">
      <c r="A345">
        <v>190</v>
      </c>
      <c r="B345" t="s">
        <v>303</v>
      </c>
      <c r="C345">
        <v>2024</v>
      </c>
      <c r="T345" s="17"/>
    </row>
    <row r="346" spans="1:23">
      <c r="A346">
        <v>191</v>
      </c>
      <c r="B346" t="s">
        <v>303</v>
      </c>
      <c r="C346">
        <v>2024</v>
      </c>
      <c r="T346" s="17"/>
    </row>
    <row r="347" spans="1:23">
      <c r="B347" t="s">
        <v>23</v>
      </c>
      <c r="C347">
        <v>2025</v>
      </c>
      <c r="D347" s="2">
        <v>45809</v>
      </c>
      <c r="E347" s="82" t="s">
        <v>2087</v>
      </c>
      <c r="F347" t="s">
        <v>451</v>
      </c>
      <c r="G347" t="s">
        <v>2088</v>
      </c>
      <c r="H347" t="s">
        <v>967</v>
      </c>
      <c r="I347" t="s">
        <v>48</v>
      </c>
      <c r="J347" t="s">
        <v>968</v>
      </c>
      <c r="K347" s="70">
        <v>46022</v>
      </c>
      <c r="L347">
        <f t="shared" ref="L347:L411" ca="1" si="0">K347-TODAY()</f>
        <v>-236</v>
      </c>
      <c r="M347" t="s">
        <v>2089</v>
      </c>
      <c r="R347" t="s">
        <v>970</v>
      </c>
      <c r="T347" s="53">
        <v>2500000</v>
      </c>
    </row>
    <row r="348" spans="1:23">
      <c r="B348" t="s">
        <v>23</v>
      </c>
      <c r="C348">
        <v>2025</v>
      </c>
      <c r="D348" s="2">
        <v>45839</v>
      </c>
      <c r="E348" t="s">
        <v>2090</v>
      </c>
      <c r="F348" t="s">
        <v>2091</v>
      </c>
      <c r="G348" t="s">
        <v>2092</v>
      </c>
      <c r="H348" t="s">
        <v>967</v>
      </c>
      <c r="I348" t="s">
        <v>48</v>
      </c>
      <c r="J348" t="s">
        <v>968</v>
      </c>
      <c r="L348">
        <f t="shared" ca="1" si="0"/>
        <v>-46258</v>
      </c>
      <c r="M348" s="43" t="s">
        <v>2093</v>
      </c>
      <c r="R348" t="s">
        <v>970</v>
      </c>
      <c r="T348" s="53">
        <v>2500000</v>
      </c>
      <c r="W348" s="46" t="s">
        <v>971</v>
      </c>
    </row>
    <row r="349" spans="1:23">
      <c r="B349" t="s">
        <v>23</v>
      </c>
      <c r="C349">
        <v>2025</v>
      </c>
      <c r="D349" s="2">
        <v>45870</v>
      </c>
      <c r="E349" t="s">
        <v>2094</v>
      </c>
      <c r="F349" t="s">
        <v>439</v>
      </c>
      <c r="G349" t="s">
        <v>2095</v>
      </c>
      <c r="H349" t="s">
        <v>967</v>
      </c>
      <c r="I349" t="s">
        <v>48</v>
      </c>
      <c r="J349" t="s">
        <v>968</v>
      </c>
      <c r="K349" s="70">
        <v>46022</v>
      </c>
      <c r="L349">
        <f t="shared" ca="1" si="0"/>
        <v>-236</v>
      </c>
      <c r="M349" s="43" t="s">
        <v>2096</v>
      </c>
      <c r="N349" s="64">
        <v>888091117590</v>
      </c>
      <c r="R349" t="s">
        <v>1171</v>
      </c>
      <c r="T349" s="53">
        <v>2500000</v>
      </c>
      <c r="W349" s="46" t="s">
        <v>971</v>
      </c>
    </row>
    <row r="350" spans="1:23" ht="15.75">
      <c r="B350" t="s">
        <v>23</v>
      </c>
      <c r="C350">
        <v>2025</v>
      </c>
      <c r="D350" s="2">
        <v>45870</v>
      </c>
      <c r="E350" t="s">
        <v>2094</v>
      </c>
      <c r="F350" t="s">
        <v>439</v>
      </c>
      <c r="G350" t="s">
        <v>2095</v>
      </c>
      <c r="H350" t="s">
        <v>967</v>
      </c>
      <c r="I350" t="s">
        <v>48</v>
      </c>
      <c r="J350" t="s">
        <v>968</v>
      </c>
      <c r="K350" s="70">
        <v>46022</v>
      </c>
      <c r="L350">
        <f t="shared" ca="1" si="0"/>
        <v>-236</v>
      </c>
      <c r="M350" s="43" t="s">
        <v>2096</v>
      </c>
      <c r="R350" t="s">
        <v>1171</v>
      </c>
      <c r="T350" s="91">
        <v>580000</v>
      </c>
    </row>
    <row r="351" spans="1:23" ht="15.75">
      <c r="B351" t="s">
        <v>23</v>
      </c>
      <c r="C351">
        <v>2025</v>
      </c>
      <c r="D351" s="2">
        <v>45870</v>
      </c>
      <c r="E351" t="s">
        <v>2097</v>
      </c>
      <c r="H351" t="s">
        <v>1364</v>
      </c>
      <c r="I351" t="s">
        <v>48</v>
      </c>
      <c r="J351" t="s">
        <v>968</v>
      </c>
      <c r="M351" s="43" t="s">
        <v>2098</v>
      </c>
      <c r="N351" s="64" t="s">
        <v>2099</v>
      </c>
      <c r="R351" t="s">
        <v>970</v>
      </c>
      <c r="T351" s="91"/>
      <c r="W351" s="46" t="s">
        <v>971</v>
      </c>
    </row>
    <row r="352" spans="1:23" ht="15.75">
      <c r="B352" t="s">
        <v>23</v>
      </c>
      <c r="C352">
        <v>2025</v>
      </c>
      <c r="D352" s="2">
        <v>45931</v>
      </c>
      <c r="E352" t="s">
        <v>2100</v>
      </c>
      <c r="F352" t="s">
        <v>466</v>
      </c>
      <c r="G352" t="s">
        <v>2101</v>
      </c>
      <c r="H352" t="s">
        <v>1633</v>
      </c>
      <c r="I352" t="s">
        <v>973</v>
      </c>
      <c r="J352" t="s">
        <v>968</v>
      </c>
      <c r="K352" s="70">
        <v>46022</v>
      </c>
      <c r="L352">
        <f t="shared" ca="1" si="0"/>
        <v>-236</v>
      </c>
      <c r="M352" t="s">
        <v>2102</v>
      </c>
      <c r="N352" s="64">
        <v>2077212882</v>
      </c>
      <c r="P352" t="s">
        <v>2103</v>
      </c>
      <c r="R352" t="s">
        <v>1171</v>
      </c>
      <c r="T352" s="57">
        <v>449000</v>
      </c>
    </row>
    <row r="353" spans="2:23" ht="15.75">
      <c r="B353" t="s">
        <v>23</v>
      </c>
      <c r="C353">
        <v>2025</v>
      </c>
      <c r="D353" s="2">
        <v>45931</v>
      </c>
      <c r="E353" t="s">
        <v>2104</v>
      </c>
      <c r="H353" t="s">
        <v>1364</v>
      </c>
      <c r="I353" t="s">
        <v>48</v>
      </c>
      <c r="J353" t="s">
        <v>968</v>
      </c>
      <c r="M353" t="s">
        <v>2105</v>
      </c>
      <c r="N353" s="64" t="s">
        <v>2106</v>
      </c>
      <c r="R353" t="s">
        <v>970</v>
      </c>
      <c r="T353" s="57"/>
      <c r="V353" t="s">
        <v>2107</v>
      </c>
      <c r="W353" s="46" t="s">
        <v>971</v>
      </c>
    </row>
    <row r="354" spans="2:23">
      <c r="B354" t="s">
        <v>23</v>
      </c>
      <c r="C354">
        <v>2025</v>
      </c>
      <c r="D354" s="2" t="s">
        <v>2108</v>
      </c>
      <c r="E354" t="s">
        <v>2109</v>
      </c>
      <c r="F354" t="s">
        <v>469</v>
      </c>
      <c r="G354" t="s">
        <v>2110</v>
      </c>
      <c r="H354" t="s">
        <v>1633</v>
      </c>
      <c r="I354" t="s">
        <v>973</v>
      </c>
      <c r="J354" t="s">
        <v>968</v>
      </c>
      <c r="K354" s="70">
        <v>46022</v>
      </c>
      <c r="L354">
        <f t="shared" ca="1" si="0"/>
        <v>-236</v>
      </c>
      <c r="M354" t="s">
        <v>2111</v>
      </c>
      <c r="R354" t="s">
        <v>1171</v>
      </c>
      <c r="T354" s="17">
        <v>729000</v>
      </c>
    </row>
    <row r="355" spans="2:23">
      <c r="B355" t="s">
        <v>23</v>
      </c>
      <c r="C355">
        <v>2025</v>
      </c>
      <c r="D355" s="2" t="s">
        <v>2108</v>
      </c>
      <c r="E355" t="s">
        <v>476</v>
      </c>
      <c r="F355" t="s">
        <v>475</v>
      </c>
      <c r="G355" t="s">
        <v>2112</v>
      </c>
      <c r="H355" t="s">
        <v>967</v>
      </c>
      <c r="I355" t="s">
        <v>48</v>
      </c>
      <c r="J355" t="s">
        <v>968</v>
      </c>
      <c r="K355" s="70">
        <v>46022</v>
      </c>
      <c r="L355">
        <f t="shared" ca="1" si="0"/>
        <v>-236</v>
      </c>
      <c r="M355" s="43" t="s">
        <v>2113</v>
      </c>
      <c r="N355" s="64">
        <v>888171432097</v>
      </c>
      <c r="R355" t="s">
        <v>970</v>
      </c>
      <c r="T355" s="53">
        <v>2500000</v>
      </c>
      <c r="W355" s="46" t="s">
        <v>971</v>
      </c>
    </row>
    <row r="356" spans="2:23">
      <c r="B356" t="s">
        <v>23</v>
      </c>
      <c r="C356">
        <v>2025</v>
      </c>
      <c r="D356" s="2" t="s">
        <v>2114</v>
      </c>
      <c r="E356" t="s">
        <v>436</v>
      </c>
      <c r="F356" t="s">
        <v>435</v>
      </c>
      <c r="G356" t="s">
        <v>2115</v>
      </c>
      <c r="H356" t="s">
        <v>1633</v>
      </c>
      <c r="I356" t="s">
        <v>973</v>
      </c>
      <c r="J356" t="s">
        <v>968</v>
      </c>
      <c r="K356" s="70">
        <v>46752</v>
      </c>
      <c r="L356">
        <f t="shared" ca="1" si="0"/>
        <v>494</v>
      </c>
      <c r="M356" s="43" t="s">
        <v>2116</v>
      </c>
      <c r="R356" t="s">
        <v>1171</v>
      </c>
      <c r="T356" s="17">
        <v>1258200</v>
      </c>
    </row>
    <row r="357" spans="2:23">
      <c r="B357" t="s">
        <v>23</v>
      </c>
      <c r="C357">
        <v>2025</v>
      </c>
      <c r="D357" s="2" t="s">
        <v>2114</v>
      </c>
      <c r="E357" t="s">
        <v>2117</v>
      </c>
      <c r="F357" t="s">
        <v>2118</v>
      </c>
      <c r="G357" t="s">
        <v>2119</v>
      </c>
      <c r="H357" t="s">
        <v>1180</v>
      </c>
      <c r="I357" t="s">
        <v>973</v>
      </c>
      <c r="J357" t="s">
        <v>968</v>
      </c>
      <c r="L357">
        <f t="shared" ca="1" si="0"/>
        <v>-46258</v>
      </c>
      <c r="M357" t="s">
        <v>2120</v>
      </c>
      <c r="R357" t="s">
        <v>1171</v>
      </c>
      <c r="T357" s="17">
        <v>1620000</v>
      </c>
    </row>
    <row r="358" spans="2:23">
      <c r="B358" t="s">
        <v>23</v>
      </c>
      <c r="C358">
        <v>2025</v>
      </c>
      <c r="D358" s="2" t="s">
        <v>2114</v>
      </c>
      <c r="E358" t="s">
        <v>2117</v>
      </c>
      <c r="F358" t="s">
        <v>2118</v>
      </c>
      <c r="G358" t="s">
        <v>2119</v>
      </c>
      <c r="H358" t="s">
        <v>1180</v>
      </c>
      <c r="I358" t="s">
        <v>973</v>
      </c>
      <c r="J358" t="s">
        <v>968</v>
      </c>
      <c r="R358" t="s">
        <v>1171</v>
      </c>
      <c r="T358" s="17">
        <v>10659200</v>
      </c>
    </row>
    <row r="359" spans="2:23">
      <c r="B359" t="s">
        <v>23</v>
      </c>
      <c r="C359">
        <v>2025</v>
      </c>
      <c r="D359" s="2" t="s">
        <v>2114</v>
      </c>
      <c r="E359" t="s">
        <v>2121</v>
      </c>
      <c r="F359" t="s">
        <v>447</v>
      </c>
      <c r="G359" t="s">
        <v>2122</v>
      </c>
      <c r="H359" t="s">
        <v>1633</v>
      </c>
      <c r="I359" t="s">
        <v>973</v>
      </c>
      <c r="J359" t="s">
        <v>968</v>
      </c>
      <c r="K359" s="70">
        <v>46022</v>
      </c>
      <c r="L359">
        <f t="shared" ca="1" si="0"/>
        <v>-236</v>
      </c>
      <c r="M359" s="43" t="s">
        <v>2123</v>
      </c>
      <c r="R359" t="s">
        <v>1171</v>
      </c>
      <c r="T359" s="17">
        <v>1422000</v>
      </c>
    </row>
    <row r="360" spans="2:23">
      <c r="B360" t="s">
        <v>23</v>
      </c>
      <c r="C360">
        <v>2025</v>
      </c>
      <c r="D360" s="2" t="s">
        <v>2124</v>
      </c>
      <c r="E360" t="s">
        <v>2125</v>
      </c>
      <c r="F360" t="s">
        <v>471</v>
      </c>
      <c r="G360" t="s">
        <v>2126</v>
      </c>
      <c r="H360" t="s">
        <v>967</v>
      </c>
      <c r="I360" t="s">
        <v>48</v>
      </c>
      <c r="J360" t="s">
        <v>968</v>
      </c>
      <c r="K360" s="70">
        <v>46041</v>
      </c>
      <c r="L360">
        <f t="shared" ca="1" si="0"/>
        <v>-217</v>
      </c>
      <c r="M360" s="43" t="s">
        <v>2127</v>
      </c>
      <c r="N360" s="64">
        <v>888301630792</v>
      </c>
      <c r="R360" t="s">
        <v>970</v>
      </c>
      <c r="T360" s="53">
        <v>2500000</v>
      </c>
      <c r="W360" s="46" t="s">
        <v>971</v>
      </c>
    </row>
    <row r="361" spans="2:23" ht="30.75">
      <c r="B361" t="s">
        <v>23</v>
      </c>
      <c r="C361">
        <v>2025</v>
      </c>
      <c r="D361" s="2" t="s">
        <v>2124</v>
      </c>
      <c r="E361" s="44" t="s">
        <v>2128</v>
      </c>
      <c r="F361" t="s">
        <v>2129</v>
      </c>
      <c r="G361" t="s">
        <v>2130</v>
      </c>
      <c r="H361" t="s">
        <v>1180</v>
      </c>
      <c r="I361" t="s">
        <v>48</v>
      </c>
      <c r="J361" t="s">
        <v>968</v>
      </c>
      <c r="L361">
        <f t="shared" ca="1" si="0"/>
        <v>-46258</v>
      </c>
      <c r="R361" t="s">
        <v>1171</v>
      </c>
      <c r="T361" s="17">
        <v>1500000</v>
      </c>
    </row>
    <row r="362" spans="2:23" ht="30.75">
      <c r="B362" t="s">
        <v>23</v>
      </c>
      <c r="C362">
        <v>2025</v>
      </c>
      <c r="D362" s="2" t="s">
        <v>2124</v>
      </c>
      <c r="E362" s="44" t="s">
        <v>2128</v>
      </c>
      <c r="T362" s="17">
        <v>1500000</v>
      </c>
    </row>
    <row r="363" spans="2:23">
      <c r="B363" t="s">
        <v>23</v>
      </c>
      <c r="C363">
        <v>2025</v>
      </c>
      <c r="D363" s="2" t="s">
        <v>2124</v>
      </c>
      <c r="E363" s="12" t="s">
        <v>2131</v>
      </c>
      <c r="F363" s="12" t="s">
        <v>2132</v>
      </c>
      <c r="G363" s="12" t="s">
        <v>2133</v>
      </c>
      <c r="H363" t="s">
        <v>1180</v>
      </c>
      <c r="I363" t="s">
        <v>48</v>
      </c>
      <c r="J363" t="s">
        <v>968</v>
      </c>
      <c r="L363">
        <f t="shared" ca="1" si="0"/>
        <v>-46258</v>
      </c>
      <c r="M363" s="43" t="s">
        <v>2134</v>
      </c>
      <c r="R363" t="s">
        <v>1171</v>
      </c>
      <c r="T363" s="17">
        <v>1500000</v>
      </c>
    </row>
    <row r="364" spans="2:23">
      <c r="B364" t="s">
        <v>23</v>
      </c>
      <c r="C364">
        <v>2025</v>
      </c>
      <c r="D364" s="2" t="s">
        <v>2135</v>
      </c>
      <c r="E364" s="12" t="s">
        <v>2136</v>
      </c>
      <c r="F364" t="s">
        <v>2137</v>
      </c>
      <c r="G364" s="12" t="s">
        <v>2138</v>
      </c>
      <c r="H364" t="s">
        <v>1135</v>
      </c>
      <c r="I364" t="s">
        <v>973</v>
      </c>
      <c r="J364" t="s">
        <v>968</v>
      </c>
      <c r="L364">
        <f t="shared" ca="1" si="0"/>
        <v>-46258</v>
      </c>
      <c r="R364" t="s">
        <v>1171</v>
      </c>
      <c r="T364" s="17">
        <v>17673000</v>
      </c>
    </row>
    <row r="365" spans="2:23">
      <c r="B365" t="s">
        <v>23</v>
      </c>
      <c r="C365">
        <v>2025</v>
      </c>
      <c r="D365" s="2" t="s">
        <v>2139</v>
      </c>
      <c r="E365" t="s">
        <v>2140</v>
      </c>
      <c r="F365" s="12" t="s">
        <v>2141</v>
      </c>
      <c r="G365" s="12" t="s">
        <v>2142</v>
      </c>
      <c r="H365" t="s">
        <v>985</v>
      </c>
      <c r="I365" t="s">
        <v>48</v>
      </c>
      <c r="J365" t="s">
        <v>968</v>
      </c>
      <c r="K365" s="70">
        <v>45981</v>
      </c>
      <c r="L365">
        <f t="shared" ca="1" si="0"/>
        <v>-277</v>
      </c>
      <c r="R365" t="s">
        <v>970</v>
      </c>
      <c r="T365" s="17"/>
    </row>
    <row r="366" spans="2:23">
      <c r="B366" t="s">
        <v>23</v>
      </c>
      <c r="C366">
        <v>2025</v>
      </c>
      <c r="D366" s="2" t="s">
        <v>2143</v>
      </c>
      <c r="E366" s="12" t="s">
        <v>2144</v>
      </c>
      <c r="F366" s="12" t="s">
        <v>480</v>
      </c>
      <c r="G366" s="12" t="s">
        <v>2145</v>
      </c>
      <c r="H366" t="s">
        <v>967</v>
      </c>
      <c r="I366" t="s">
        <v>48</v>
      </c>
      <c r="J366" t="s">
        <v>968</v>
      </c>
      <c r="K366" s="70">
        <v>46033</v>
      </c>
      <c r="L366">
        <f t="shared" ca="1" si="0"/>
        <v>-225</v>
      </c>
      <c r="M366" s="43" t="s">
        <v>2146</v>
      </c>
      <c r="N366" s="64">
        <v>888301622474</v>
      </c>
      <c r="R366" t="s">
        <v>970</v>
      </c>
      <c r="T366" s="53">
        <v>2500000</v>
      </c>
      <c r="W366" s="46" t="s">
        <v>971</v>
      </c>
    </row>
    <row r="367" spans="2:23" ht="15.75">
      <c r="B367" t="s">
        <v>23</v>
      </c>
      <c r="C367">
        <v>2025</v>
      </c>
      <c r="D367" s="2" t="s">
        <v>2143</v>
      </c>
      <c r="E367" s="12" t="s">
        <v>2144</v>
      </c>
      <c r="F367" s="12" t="s">
        <v>480</v>
      </c>
      <c r="G367" s="12" t="s">
        <v>2145</v>
      </c>
      <c r="H367" t="s">
        <v>967</v>
      </c>
      <c r="I367" t="s">
        <v>48</v>
      </c>
      <c r="J367" t="s">
        <v>968</v>
      </c>
      <c r="K367" s="70">
        <v>46033</v>
      </c>
      <c r="L367">
        <f t="shared" ca="1" si="0"/>
        <v>-225</v>
      </c>
      <c r="M367" s="43" t="s">
        <v>2146</v>
      </c>
      <c r="R367" t="s">
        <v>1171</v>
      </c>
      <c r="T367" s="91">
        <v>580000</v>
      </c>
    </row>
    <row r="368" spans="2:23">
      <c r="B368" t="s">
        <v>23</v>
      </c>
      <c r="C368">
        <v>2025</v>
      </c>
      <c r="D368" s="2" t="s">
        <v>2143</v>
      </c>
      <c r="E368" s="12" t="s">
        <v>2147</v>
      </c>
      <c r="F368" s="49" t="s">
        <v>2148</v>
      </c>
      <c r="G368" s="12" t="s">
        <v>2149</v>
      </c>
      <c r="H368" t="s">
        <v>1633</v>
      </c>
      <c r="I368" t="s">
        <v>973</v>
      </c>
      <c r="J368" t="s">
        <v>968</v>
      </c>
      <c r="K368" s="70">
        <v>46390</v>
      </c>
      <c r="L368">
        <f t="shared" ca="1" si="0"/>
        <v>132</v>
      </c>
      <c r="M368" t="s">
        <v>2150</v>
      </c>
      <c r="P368" t="s">
        <v>2151</v>
      </c>
      <c r="R368" t="s">
        <v>970</v>
      </c>
      <c r="T368" s="59">
        <v>1013000</v>
      </c>
    </row>
    <row r="369" spans="2:23">
      <c r="B369" t="s">
        <v>23</v>
      </c>
      <c r="C369">
        <v>2025</v>
      </c>
      <c r="D369" s="2" t="s">
        <v>2143</v>
      </c>
      <c r="E369" s="12" t="s">
        <v>2152</v>
      </c>
      <c r="F369" s="12" t="s">
        <v>2153</v>
      </c>
      <c r="G369" s="55" t="s">
        <v>2154</v>
      </c>
      <c r="H369" t="s">
        <v>1180</v>
      </c>
      <c r="I369" t="s">
        <v>48</v>
      </c>
      <c r="J369" t="s">
        <v>968</v>
      </c>
      <c r="L369">
        <f t="shared" ca="1" si="0"/>
        <v>-46258</v>
      </c>
      <c r="R369" t="s">
        <v>1171</v>
      </c>
      <c r="T369" s="68">
        <v>1500000</v>
      </c>
    </row>
    <row r="370" spans="2:23">
      <c r="B370" t="s">
        <v>23</v>
      </c>
      <c r="C370">
        <v>2025</v>
      </c>
      <c r="D370" t="s">
        <v>2155</v>
      </c>
      <c r="E370" t="s">
        <v>2156</v>
      </c>
      <c r="F370" t="s">
        <v>2157</v>
      </c>
      <c r="G370" t="s">
        <v>2158</v>
      </c>
      <c r="H370" t="s">
        <v>967</v>
      </c>
      <c r="I370" t="s">
        <v>48</v>
      </c>
      <c r="J370" t="s">
        <v>968</v>
      </c>
      <c r="K370" s="70">
        <v>46022</v>
      </c>
      <c r="L370">
        <f t="shared" ca="1" si="0"/>
        <v>-236</v>
      </c>
      <c r="M370" t="s">
        <v>2159</v>
      </c>
      <c r="N370" s="64">
        <v>888041543492</v>
      </c>
      <c r="R370" t="s">
        <v>970</v>
      </c>
      <c r="T370" s="17">
        <v>580000</v>
      </c>
      <c r="W370" s="46" t="s">
        <v>971</v>
      </c>
    </row>
    <row r="371" spans="2:23">
      <c r="B371" t="s">
        <v>23</v>
      </c>
      <c r="C371">
        <v>2025</v>
      </c>
      <c r="D371" t="s">
        <v>2155</v>
      </c>
      <c r="E371" t="s">
        <v>2160</v>
      </c>
      <c r="F371" t="s">
        <v>2161</v>
      </c>
      <c r="G371" t="s">
        <v>2162</v>
      </c>
      <c r="H371" t="s">
        <v>1180</v>
      </c>
      <c r="I371" t="s">
        <v>973</v>
      </c>
      <c r="J371" t="s">
        <v>968</v>
      </c>
      <c r="K371" s="70">
        <v>46204</v>
      </c>
      <c r="L371">
        <f t="shared" ca="1" si="0"/>
        <v>-54</v>
      </c>
      <c r="M371" t="s">
        <v>2163</v>
      </c>
      <c r="N371" s="64">
        <v>1913045979</v>
      </c>
      <c r="R371" t="s">
        <v>1171</v>
      </c>
      <c r="T371" s="17">
        <v>1044000</v>
      </c>
    </row>
    <row r="372" spans="2:23">
      <c r="B372" t="s">
        <v>96</v>
      </c>
      <c r="C372">
        <v>2025</v>
      </c>
      <c r="D372" s="2">
        <v>45718</v>
      </c>
      <c r="E372" s="12" t="s">
        <v>2164</v>
      </c>
      <c r="F372" s="12" t="s">
        <v>2165</v>
      </c>
      <c r="G372" s="65" t="s">
        <v>2166</v>
      </c>
      <c r="H372" t="s">
        <v>1180</v>
      </c>
      <c r="I372" t="s">
        <v>48</v>
      </c>
      <c r="J372" t="s">
        <v>968</v>
      </c>
      <c r="L372">
        <f t="shared" ca="1" si="0"/>
        <v>-46258</v>
      </c>
      <c r="M372" t="s">
        <v>2167</v>
      </c>
      <c r="N372" s="73">
        <v>888307274424</v>
      </c>
      <c r="O372" s="25"/>
      <c r="P372" s="25"/>
      <c r="R372" t="s">
        <v>1171</v>
      </c>
      <c r="T372" s="17">
        <v>2500000</v>
      </c>
    </row>
    <row r="373" spans="2:23">
      <c r="B373" t="s">
        <v>96</v>
      </c>
      <c r="C373">
        <v>2025</v>
      </c>
      <c r="D373" s="2">
        <v>45749</v>
      </c>
      <c r="E373" s="12" t="s">
        <v>2168</v>
      </c>
      <c r="F373" s="12" t="s">
        <v>2169</v>
      </c>
      <c r="G373" s="12" t="s">
        <v>2170</v>
      </c>
      <c r="H373" t="s">
        <v>1180</v>
      </c>
      <c r="I373" t="s">
        <v>48</v>
      </c>
      <c r="J373" t="s">
        <v>968</v>
      </c>
      <c r="L373">
        <f t="shared" ca="1" si="0"/>
        <v>-46258</v>
      </c>
      <c r="M373">
        <v>7000174177</v>
      </c>
      <c r="N373" s="73" t="s">
        <v>2171</v>
      </c>
      <c r="O373" s="25"/>
      <c r="P373" s="25"/>
      <c r="R373" t="s">
        <v>1171</v>
      </c>
      <c r="T373" s="17">
        <v>2500000</v>
      </c>
    </row>
    <row r="374" spans="2:23">
      <c r="B374" t="s">
        <v>96</v>
      </c>
      <c r="C374">
        <v>2025</v>
      </c>
      <c r="D374" s="2">
        <v>45749</v>
      </c>
      <c r="E374" s="12" t="s">
        <v>2168</v>
      </c>
      <c r="F374" s="12" t="s">
        <v>2169</v>
      </c>
      <c r="G374" s="12" t="s">
        <v>2170</v>
      </c>
      <c r="H374" t="s">
        <v>1180</v>
      </c>
      <c r="I374" t="s">
        <v>973</v>
      </c>
      <c r="J374" t="s">
        <v>968</v>
      </c>
      <c r="L374">
        <f t="shared" ca="1" si="0"/>
        <v>-46258</v>
      </c>
      <c r="N374" s="73">
        <v>1770779433</v>
      </c>
      <c r="O374" s="25"/>
      <c r="P374" s="25"/>
      <c r="R374" t="s">
        <v>1171</v>
      </c>
      <c r="T374" s="17">
        <v>1013000</v>
      </c>
    </row>
    <row r="375" spans="2:23">
      <c r="B375" t="s">
        <v>96</v>
      </c>
      <c r="C375">
        <v>2025</v>
      </c>
      <c r="D375" s="2">
        <v>45749</v>
      </c>
      <c r="E375" s="12" t="s">
        <v>2172</v>
      </c>
      <c r="F375" s="61" t="s">
        <v>1336</v>
      </c>
      <c r="G375" s="12" t="s">
        <v>2173</v>
      </c>
      <c r="H375" t="s">
        <v>1180</v>
      </c>
      <c r="I375" t="s">
        <v>48</v>
      </c>
      <c r="J375" t="s">
        <v>968</v>
      </c>
      <c r="L375">
        <f t="shared" ca="1" si="0"/>
        <v>-46258</v>
      </c>
      <c r="M375" t="s">
        <v>1338</v>
      </c>
      <c r="N375" s="73"/>
      <c r="O375" s="25"/>
      <c r="P375" s="25"/>
      <c r="R375" t="s">
        <v>970</v>
      </c>
      <c r="T375" s="17">
        <v>580000</v>
      </c>
    </row>
    <row r="376" spans="2:23">
      <c r="B376" t="s">
        <v>96</v>
      </c>
      <c r="C376">
        <v>2025</v>
      </c>
      <c r="D376" s="2">
        <v>45779</v>
      </c>
      <c r="E376" s="62" t="s">
        <v>1132</v>
      </c>
      <c r="F376" s="12" t="s">
        <v>1928</v>
      </c>
      <c r="G376" s="12" t="s">
        <v>2174</v>
      </c>
      <c r="H376" t="s">
        <v>1633</v>
      </c>
      <c r="I376" t="s">
        <v>973</v>
      </c>
      <c r="J376" t="s">
        <v>968</v>
      </c>
      <c r="K376" s="70">
        <v>46477</v>
      </c>
      <c r="L376">
        <f t="shared" ca="1" si="0"/>
        <v>219</v>
      </c>
      <c r="N376" s="73"/>
      <c r="O376" s="25"/>
      <c r="P376" s="25"/>
      <c r="R376" t="s">
        <v>1171</v>
      </c>
      <c r="T376" s="17">
        <v>4563000</v>
      </c>
    </row>
    <row r="377" spans="2:23">
      <c r="B377" t="s">
        <v>96</v>
      </c>
      <c r="C377">
        <v>2025</v>
      </c>
      <c r="D377" s="2">
        <v>45779</v>
      </c>
      <c r="E377" s="12" t="s">
        <v>1132</v>
      </c>
      <c r="F377" s="12" t="s">
        <v>1928</v>
      </c>
      <c r="G377" s="12" t="s">
        <v>2174</v>
      </c>
      <c r="H377" t="s">
        <v>1633</v>
      </c>
      <c r="I377" t="s">
        <v>973</v>
      </c>
      <c r="J377" t="s">
        <v>968</v>
      </c>
      <c r="K377" s="70">
        <v>46477</v>
      </c>
      <c r="L377">
        <f t="shared" ca="1" si="0"/>
        <v>219</v>
      </c>
      <c r="N377" s="73"/>
      <c r="O377" s="25"/>
      <c r="P377" s="25"/>
      <c r="T377" s="17">
        <v>6909300</v>
      </c>
    </row>
    <row r="378" spans="2:23">
      <c r="B378" t="s">
        <v>96</v>
      </c>
      <c r="C378">
        <v>2025</v>
      </c>
      <c r="D378" s="2">
        <v>45779</v>
      </c>
      <c r="E378" s="12" t="s">
        <v>1132</v>
      </c>
      <c r="F378" s="12" t="s">
        <v>1928</v>
      </c>
      <c r="G378" s="12" t="s">
        <v>2174</v>
      </c>
      <c r="H378" t="s">
        <v>1633</v>
      </c>
      <c r="I378" t="s">
        <v>973</v>
      </c>
      <c r="J378" t="s">
        <v>968</v>
      </c>
      <c r="K378" s="70">
        <v>46477</v>
      </c>
      <c r="L378">
        <f t="shared" ca="1" si="0"/>
        <v>219</v>
      </c>
      <c r="N378" s="73"/>
      <c r="O378" s="25"/>
      <c r="P378" s="25"/>
      <c r="T378" s="17">
        <v>15658500</v>
      </c>
    </row>
    <row r="379" spans="2:23">
      <c r="B379" t="s">
        <v>96</v>
      </c>
      <c r="C379">
        <v>2025</v>
      </c>
      <c r="D379" s="2">
        <v>45779</v>
      </c>
      <c r="E379" s="12" t="s">
        <v>1132</v>
      </c>
      <c r="F379" s="12" t="s">
        <v>1928</v>
      </c>
      <c r="G379" s="12" t="s">
        <v>2174</v>
      </c>
      <c r="H379" t="s">
        <v>1633</v>
      </c>
      <c r="I379" t="s">
        <v>973</v>
      </c>
      <c r="J379" t="s">
        <v>968</v>
      </c>
      <c r="K379" s="70">
        <v>46477</v>
      </c>
      <c r="L379">
        <f ca="1">K379-TODAY()</f>
        <v>219</v>
      </c>
      <c r="N379" s="73"/>
      <c r="O379" s="25"/>
      <c r="P379" s="25"/>
      <c r="T379" s="17">
        <v>5615000</v>
      </c>
    </row>
    <row r="380" spans="2:23">
      <c r="B380" t="s">
        <v>96</v>
      </c>
      <c r="C380">
        <v>2025</v>
      </c>
      <c r="D380" s="2">
        <v>45779</v>
      </c>
      <c r="E380" t="s">
        <v>2175</v>
      </c>
      <c r="F380" t="s">
        <v>2176</v>
      </c>
      <c r="G380" t="s">
        <v>2177</v>
      </c>
      <c r="H380" t="s">
        <v>967</v>
      </c>
      <c r="I380" t="s">
        <v>48</v>
      </c>
      <c r="J380" t="s">
        <v>968</v>
      </c>
      <c r="K380" s="70">
        <v>46022</v>
      </c>
      <c r="L380">
        <f ca="1">K380-TODAY()</f>
        <v>-236</v>
      </c>
      <c r="M380" t="s">
        <v>2178</v>
      </c>
      <c r="N380" s="64">
        <v>888071648761</v>
      </c>
      <c r="R380" t="s">
        <v>970</v>
      </c>
      <c r="T380" s="17">
        <v>580000</v>
      </c>
      <c r="W380" s="46" t="s">
        <v>971</v>
      </c>
    </row>
    <row r="381" spans="2:23">
      <c r="B381" t="s">
        <v>96</v>
      </c>
      <c r="C381">
        <v>2025</v>
      </c>
      <c r="D381" s="2">
        <v>45779</v>
      </c>
      <c r="E381" t="s">
        <v>2179</v>
      </c>
      <c r="F381" t="s">
        <v>2180</v>
      </c>
      <c r="G381" s="60" t="s">
        <v>2181</v>
      </c>
      <c r="H381" t="s">
        <v>1556</v>
      </c>
      <c r="I381" t="s">
        <v>973</v>
      </c>
      <c r="J381" t="s">
        <v>968</v>
      </c>
      <c r="L381">
        <f t="shared" ca="1" si="0"/>
        <v>-46258</v>
      </c>
      <c r="M381" t="s">
        <v>2182</v>
      </c>
      <c r="R381" t="s">
        <v>1171</v>
      </c>
      <c r="T381" s="17">
        <v>1451000</v>
      </c>
    </row>
    <row r="382" spans="2:23">
      <c r="B382" t="s">
        <v>96</v>
      </c>
      <c r="C382">
        <v>2025</v>
      </c>
      <c r="D382" s="2">
        <v>45779</v>
      </c>
      <c r="E382" t="s">
        <v>2179</v>
      </c>
      <c r="F382" t="s">
        <v>2180</v>
      </c>
      <c r="G382" s="60" t="s">
        <v>2181</v>
      </c>
      <c r="H382" t="s">
        <v>1180</v>
      </c>
      <c r="I382" t="s">
        <v>973</v>
      </c>
      <c r="J382" t="s">
        <v>968</v>
      </c>
      <c r="L382">
        <f t="shared" ca="1" si="0"/>
        <v>-46258</v>
      </c>
      <c r="M382" t="s">
        <v>2182</v>
      </c>
      <c r="R382" t="s">
        <v>1171</v>
      </c>
      <c r="T382" s="17">
        <v>636000</v>
      </c>
    </row>
    <row r="383" spans="2:23">
      <c r="B383" t="s">
        <v>96</v>
      </c>
      <c r="C383">
        <v>2025</v>
      </c>
      <c r="D383" s="2">
        <v>45779</v>
      </c>
      <c r="E383" t="s">
        <v>2183</v>
      </c>
      <c r="F383" t="s">
        <v>2184</v>
      </c>
      <c r="G383" t="s">
        <v>2185</v>
      </c>
      <c r="H383" t="s">
        <v>1180</v>
      </c>
      <c r="I383" t="s">
        <v>973</v>
      </c>
      <c r="J383" t="s">
        <v>968</v>
      </c>
      <c r="L383">
        <f t="shared" ca="1" si="0"/>
        <v>-46258</v>
      </c>
      <c r="M383" t="s">
        <v>2186</v>
      </c>
      <c r="R383" t="s">
        <v>1171</v>
      </c>
      <c r="T383" s="17">
        <v>636000</v>
      </c>
    </row>
    <row r="384" spans="2:23">
      <c r="B384" t="s">
        <v>96</v>
      </c>
      <c r="C384">
        <v>2025</v>
      </c>
      <c r="D384" s="2">
        <v>45779</v>
      </c>
      <c r="E384" t="s">
        <v>2183</v>
      </c>
      <c r="F384" t="s">
        <v>2184</v>
      </c>
      <c r="G384" t="s">
        <v>2185</v>
      </c>
      <c r="H384" t="s">
        <v>1180</v>
      </c>
      <c r="I384" t="s">
        <v>973</v>
      </c>
      <c r="J384" t="s">
        <v>968</v>
      </c>
      <c r="L384">
        <f t="shared" ca="1" si="0"/>
        <v>-46258</v>
      </c>
      <c r="M384" t="s">
        <v>2187</v>
      </c>
      <c r="R384" t="s">
        <v>1171</v>
      </c>
      <c r="T384" s="17">
        <v>2886000</v>
      </c>
    </row>
    <row r="385" spans="2:23">
      <c r="B385" t="s">
        <v>96</v>
      </c>
      <c r="C385">
        <v>2025</v>
      </c>
      <c r="D385" s="2">
        <v>45779</v>
      </c>
      <c r="E385" t="s">
        <v>2188</v>
      </c>
      <c r="F385" t="s">
        <v>2189</v>
      </c>
      <c r="G385" s="12" t="s">
        <v>2190</v>
      </c>
      <c r="H385" t="s">
        <v>1135</v>
      </c>
      <c r="I385" t="s">
        <v>973</v>
      </c>
      <c r="J385" t="s">
        <v>1119</v>
      </c>
      <c r="L385">
        <f t="shared" ca="1" si="0"/>
        <v>-46258</v>
      </c>
      <c r="T385" s="17"/>
    </row>
    <row r="386" spans="2:23">
      <c r="B386" t="s">
        <v>96</v>
      </c>
      <c r="C386">
        <v>2025</v>
      </c>
      <c r="D386" s="2">
        <v>45779</v>
      </c>
      <c r="E386" t="s">
        <v>2188</v>
      </c>
      <c r="F386" t="s">
        <v>2189</v>
      </c>
      <c r="G386" s="12" t="s">
        <v>2190</v>
      </c>
      <c r="H386" t="s">
        <v>1135</v>
      </c>
      <c r="I386" t="s">
        <v>973</v>
      </c>
      <c r="J386" t="s">
        <v>1119</v>
      </c>
      <c r="L386">
        <f t="shared" ca="1" si="0"/>
        <v>-46258</v>
      </c>
      <c r="T386" s="17"/>
    </row>
    <row r="387" spans="2:23">
      <c r="B387" t="s">
        <v>96</v>
      </c>
      <c r="C387">
        <v>2025</v>
      </c>
      <c r="D387" s="2">
        <v>45932</v>
      </c>
      <c r="E387" s="12" t="s">
        <v>2191</v>
      </c>
      <c r="F387" s="63" t="s">
        <v>471</v>
      </c>
      <c r="G387" s="12" t="s">
        <v>2192</v>
      </c>
      <c r="H387" t="s">
        <v>1633</v>
      </c>
      <c r="I387" t="s">
        <v>973</v>
      </c>
      <c r="J387" t="s">
        <v>968</v>
      </c>
      <c r="K387" s="70">
        <v>46041</v>
      </c>
      <c r="L387">
        <f t="shared" ca="1" si="0"/>
        <v>-217</v>
      </c>
      <c r="M387" t="s">
        <v>2193</v>
      </c>
      <c r="N387" s="64">
        <v>2077865722</v>
      </c>
      <c r="P387" s="45" t="s">
        <v>2194</v>
      </c>
      <c r="R387" t="s">
        <v>970</v>
      </c>
      <c r="T387" s="17">
        <v>401000</v>
      </c>
    </row>
    <row r="388" spans="2:23">
      <c r="B388" t="s">
        <v>96</v>
      </c>
      <c r="C388">
        <v>2025</v>
      </c>
      <c r="D388" s="2">
        <v>45932</v>
      </c>
      <c r="E388" s="12" t="s">
        <v>2195</v>
      </c>
      <c r="F388" s="12" t="s">
        <v>2196</v>
      </c>
      <c r="G388" s="12" t="s">
        <v>2197</v>
      </c>
      <c r="H388" t="s">
        <v>1180</v>
      </c>
      <c r="I388" t="s">
        <v>973</v>
      </c>
      <c r="J388" t="s">
        <v>1119</v>
      </c>
      <c r="L388">
        <f t="shared" ca="1" si="0"/>
        <v>-46258</v>
      </c>
      <c r="M388" t="s">
        <v>2182</v>
      </c>
      <c r="R388" t="s">
        <v>1171</v>
      </c>
      <c r="T388" s="17">
        <v>1024000</v>
      </c>
    </row>
    <row r="389" spans="2:23">
      <c r="B389" t="s">
        <v>96</v>
      </c>
      <c r="C389">
        <v>2025</v>
      </c>
      <c r="D389" s="2">
        <v>45932</v>
      </c>
      <c r="E389" s="12" t="s">
        <v>2198</v>
      </c>
      <c r="F389" s="12" t="s">
        <v>2196</v>
      </c>
      <c r="G389" s="12" t="s">
        <v>2199</v>
      </c>
      <c r="H389" t="s">
        <v>1180</v>
      </c>
      <c r="I389" t="s">
        <v>48</v>
      </c>
      <c r="J389" t="s">
        <v>968</v>
      </c>
      <c r="L389">
        <f t="shared" ca="1" si="0"/>
        <v>-46258</v>
      </c>
      <c r="M389" t="s">
        <v>2182</v>
      </c>
      <c r="T389" s="17">
        <v>0</v>
      </c>
    </row>
    <row r="390" spans="2:23">
      <c r="B390" t="s">
        <v>96</v>
      </c>
      <c r="C390">
        <v>2025</v>
      </c>
      <c r="D390" s="2">
        <v>45932</v>
      </c>
      <c r="E390" s="12" t="s">
        <v>2198</v>
      </c>
      <c r="F390" s="12" t="s">
        <v>2196</v>
      </c>
      <c r="G390" s="12" t="s">
        <v>2199</v>
      </c>
      <c r="H390" t="s">
        <v>1180</v>
      </c>
      <c r="I390" t="s">
        <v>973</v>
      </c>
      <c r="J390" t="s">
        <v>968</v>
      </c>
      <c r="L390">
        <f t="shared" ca="1" si="0"/>
        <v>-46258</v>
      </c>
      <c r="M390" t="s">
        <v>2182</v>
      </c>
      <c r="T390" s="17">
        <v>3561000</v>
      </c>
    </row>
    <row r="391" spans="2:23">
      <c r="B391" t="s">
        <v>96</v>
      </c>
      <c r="C391">
        <v>2025</v>
      </c>
      <c r="D391" s="2">
        <v>45963</v>
      </c>
      <c r="E391" s="12" t="s">
        <v>2200</v>
      </c>
      <c r="F391" s="12" t="s">
        <v>2201</v>
      </c>
      <c r="G391" s="12" t="s">
        <v>2202</v>
      </c>
      <c r="H391" t="s">
        <v>1180</v>
      </c>
      <c r="I391" t="s">
        <v>48</v>
      </c>
      <c r="J391" t="s">
        <v>968</v>
      </c>
      <c r="L391">
        <f t="shared" ca="1" si="0"/>
        <v>-46258</v>
      </c>
      <c r="M391" s="44" t="s">
        <v>2203</v>
      </c>
      <c r="T391" s="17">
        <v>2500000</v>
      </c>
    </row>
    <row r="392" spans="2:23">
      <c r="B392" t="s">
        <v>96</v>
      </c>
      <c r="C392">
        <v>2025</v>
      </c>
      <c r="D392" s="2">
        <v>45963</v>
      </c>
      <c r="E392" s="12" t="s">
        <v>2200</v>
      </c>
      <c r="F392" s="12" t="s">
        <v>2201</v>
      </c>
      <c r="G392" s="12" t="s">
        <v>2202</v>
      </c>
      <c r="H392" t="s">
        <v>1180</v>
      </c>
      <c r="I392" t="s">
        <v>973</v>
      </c>
      <c r="J392" t="s">
        <v>968</v>
      </c>
      <c r="L392">
        <f t="shared" ca="1" si="0"/>
        <v>-46258</v>
      </c>
      <c r="M392" s="76" t="s">
        <v>2204</v>
      </c>
      <c r="T392" s="17">
        <v>5615000</v>
      </c>
    </row>
    <row r="393" spans="2:23">
      <c r="B393" t="s">
        <v>96</v>
      </c>
      <c r="C393">
        <v>2025</v>
      </c>
      <c r="D393" s="2">
        <v>45993</v>
      </c>
      <c r="E393" s="12" t="s">
        <v>2205</v>
      </c>
      <c r="F393" s="12" t="s">
        <v>2206</v>
      </c>
      <c r="G393" s="12" t="s">
        <v>2207</v>
      </c>
      <c r="H393" t="s">
        <v>1135</v>
      </c>
      <c r="I393" t="s">
        <v>973</v>
      </c>
      <c r="J393" t="s">
        <v>968</v>
      </c>
      <c r="K393" s="70">
        <v>45930</v>
      </c>
      <c r="L393">
        <f t="shared" ca="1" si="0"/>
        <v>-328</v>
      </c>
      <c r="R393" t="s">
        <v>1171</v>
      </c>
      <c r="T393" s="17">
        <v>810000</v>
      </c>
    </row>
    <row r="394" spans="2:23">
      <c r="B394" t="s">
        <v>96</v>
      </c>
      <c r="C394">
        <v>2025</v>
      </c>
      <c r="D394" s="2" t="s">
        <v>2208</v>
      </c>
      <c r="E394" s="12" t="s">
        <v>2209</v>
      </c>
      <c r="F394" s="12" t="s">
        <v>2210</v>
      </c>
      <c r="G394" s="12" t="s">
        <v>2211</v>
      </c>
      <c r="H394" t="s">
        <v>1633</v>
      </c>
      <c r="I394" t="s">
        <v>973</v>
      </c>
      <c r="J394" t="s">
        <v>968</v>
      </c>
      <c r="K394" s="70">
        <v>45838</v>
      </c>
      <c r="L394">
        <f t="shared" ca="1" si="0"/>
        <v>-420</v>
      </c>
      <c r="M394" t="s">
        <v>2212</v>
      </c>
      <c r="R394" t="s">
        <v>1171</v>
      </c>
      <c r="T394" s="40">
        <v>2886000</v>
      </c>
    </row>
    <row r="395" spans="2:23">
      <c r="B395" t="s">
        <v>96</v>
      </c>
      <c r="C395">
        <v>2025</v>
      </c>
      <c r="D395" s="2" t="s">
        <v>2208</v>
      </c>
      <c r="E395" s="12" t="s">
        <v>2213</v>
      </c>
      <c r="F395" s="12" t="s">
        <v>2214</v>
      </c>
      <c r="G395" s="12" t="s">
        <v>2215</v>
      </c>
      <c r="H395" t="s">
        <v>1633</v>
      </c>
      <c r="I395" t="s">
        <v>973</v>
      </c>
      <c r="J395" t="s">
        <v>968</v>
      </c>
      <c r="K395" s="70">
        <v>45838</v>
      </c>
      <c r="L395">
        <f t="shared" ca="1" si="0"/>
        <v>-420</v>
      </c>
      <c r="R395" t="s">
        <v>1171</v>
      </c>
      <c r="T395" s="92">
        <v>729000</v>
      </c>
    </row>
    <row r="396" spans="2:23">
      <c r="B396" t="s">
        <v>96</v>
      </c>
      <c r="C396">
        <v>2025</v>
      </c>
      <c r="D396" t="s">
        <v>2216</v>
      </c>
      <c r="E396" t="s">
        <v>2217</v>
      </c>
      <c r="F396" s="49" t="s">
        <v>2218</v>
      </c>
      <c r="G396" s="12" t="s">
        <v>2219</v>
      </c>
      <c r="H396" t="s">
        <v>967</v>
      </c>
      <c r="I396" t="s">
        <v>48</v>
      </c>
      <c r="J396" t="s">
        <v>968</v>
      </c>
      <c r="K396" s="70">
        <v>46022</v>
      </c>
      <c r="L396">
        <f t="shared" ca="1" si="0"/>
        <v>-236</v>
      </c>
      <c r="M396" t="s">
        <v>2220</v>
      </c>
      <c r="N396" s="64">
        <v>888190943498</v>
      </c>
      <c r="R396" t="s">
        <v>970</v>
      </c>
      <c r="T396" s="17">
        <v>2500000</v>
      </c>
      <c r="W396" s="46" t="s">
        <v>971</v>
      </c>
    </row>
    <row r="397" spans="2:23">
      <c r="B397" t="s">
        <v>96</v>
      </c>
      <c r="C397">
        <v>2025</v>
      </c>
      <c r="D397" t="s">
        <v>2221</v>
      </c>
      <c r="E397" t="s">
        <v>2222</v>
      </c>
      <c r="F397" t="s">
        <v>2223</v>
      </c>
      <c r="G397" t="s">
        <v>2224</v>
      </c>
      <c r="H397" t="s">
        <v>1135</v>
      </c>
      <c r="I397" t="s">
        <v>973</v>
      </c>
      <c r="J397" t="s">
        <v>968</v>
      </c>
      <c r="K397" s="70">
        <v>46022</v>
      </c>
      <c r="L397">
        <f t="shared" ca="1" si="0"/>
        <v>-236</v>
      </c>
      <c r="M397" t="s">
        <v>2225</v>
      </c>
      <c r="N397" s="64">
        <v>1709917439</v>
      </c>
      <c r="O397">
        <v>1709780381</v>
      </c>
      <c r="R397" t="s">
        <v>970</v>
      </c>
      <c r="T397" s="17">
        <v>1895400</v>
      </c>
    </row>
    <row r="398" spans="2:23">
      <c r="B398" t="s">
        <v>96</v>
      </c>
      <c r="C398">
        <v>2025</v>
      </c>
      <c r="D398" t="s">
        <v>2221</v>
      </c>
      <c r="E398" s="12" t="s">
        <v>2226</v>
      </c>
      <c r="F398" s="51" t="s">
        <v>500</v>
      </c>
      <c r="G398" s="12" t="s">
        <v>2227</v>
      </c>
      <c r="H398" t="s">
        <v>967</v>
      </c>
      <c r="I398" t="s">
        <v>973</v>
      </c>
      <c r="J398" t="s">
        <v>968</v>
      </c>
      <c r="K398" s="70">
        <v>46022</v>
      </c>
      <c r="L398">
        <f t="shared" ca="1" si="0"/>
        <v>-236</v>
      </c>
      <c r="M398" t="s">
        <v>2228</v>
      </c>
      <c r="R398" t="s">
        <v>1171</v>
      </c>
      <c r="T398" s="40">
        <v>2601000</v>
      </c>
    </row>
    <row r="399" spans="2:23">
      <c r="B399" t="s">
        <v>96</v>
      </c>
      <c r="C399">
        <v>2025</v>
      </c>
      <c r="D399" t="s">
        <v>2221</v>
      </c>
      <c r="E399" s="12" t="s">
        <v>2226</v>
      </c>
      <c r="F399" s="51" t="s">
        <v>500</v>
      </c>
      <c r="G399" s="12" t="s">
        <v>2227</v>
      </c>
      <c r="H399" t="s">
        <v>1556</v>
      </c>
      <c r="I399" t="s">
        <v>973</v>
      </c>
      <c r="J399" t="s">
        <v>968</v>
      </c>
      <c r="K399" s="70">
        <v>46022</v>
      </c>
      <c r="L399">
        <f t="shared" ca="1" si="0"/>
        <v>-236</v>
      </c>
      <c r="M399" t="s">
        <v>2229</v>
      </c>
      <c r="R399" t="s">
        <v>1171</v>
      </c>
      <c r="T399" s="40">
        <v>1258200</v>
      </c>
    </row>
    <row r="400" spans="2:23">
      <c r="B400" t="s">
        <v>96</v>
      </c>
      <c r="C400">
        <v>2025</v>
      </c>
      <c r="D400" t="s">
        <v>2221</v>
      </c>
      <c r="E400" s="12" t="s">
        <v>2230</v>
      </c>
      <c r="F400" s="51" t="s">
        <v>2231</v>
      </c>
      <c r="G400" s="12" t="s">
        <v>2232</v>
      </c>
      <c r="H400" t="s">
        <v>1633</v>
      </c>
      <c r="I400" t="s">
        <v>973</v>
      </c>
      <c r="J400" t="s">
        <v>968</v>
      </c>
      <c r="K400" s="70">
        <v>46022</v>
      </c>
      <c r="L400">
        <f t="shared" ca="1" si="0"/>
        <v>-236</v>
      </c>
      <c r="R400" t="s">
        <v>1171</v>
      </c>
      <c r="T400" s="17"/>
    </row>
    <row r="401" spans="2:23">
      <c r="B401" t="s">
        <v>96</v>
      </c>
      <c r="C401">
        <v>2025</v>
      </c>
      <c r="D401" t="s">
        <v>2221</v>
      </c>
      <c r="E401" t="s">
        <v>2233</v>
      </c>
      <c r="F401" t="s">
        <v>2234</v>
      </c>
      <c r="G401" t="s">
        <v>2235</v>
      </c>
      <c r="H401" t="s">
        <v>967</v>
      </c>
      <c r="I401" t="s">
        <v>48</v>
      </c>
      <c r="J401" t="s">
        <v>968</v>
      </c>
      <c r="K401" s="70">
        <v>46022</v>
      </c>
      <c r="L401">
        <f t="shared" ca="1" si="0"/>
        <v>-236</v>
      </c>
      <c r="M401" t="s">
        <v>2236</v>
      </c>
      <c r="N401" s="64">
        <v>888261536313</v>
      </c>
      <c r="R401" t="s">
        <v>970</v>
      </c>
      <c r="T401" s="17">
        <v>580000</v>
      </c>
      <c r="U401" s="17"/>
      <c r="V401" s="2">
        <v>45763</v>
      </c>
      <c r="W401" s="46" t="s">
        <v>971</v>
      </c>
    </row>
    <row r="402" spans="2:23">
      <c r="B402" t="s">
        <v>96</v>
      </c>
      <c r="C402">
        <v>2025</v>
      </c>
      <c r="D402" t="s">
        <v>2221</v>
      </c>
      <c r="E402" s="12" t="s">
        <v>2237</v>
      </c>
      <c r="F402" s="12" t="s">
        <v>2238</v>
      </c>
      <c r="G402" s="12" t="s">
        <v>2239</v>
      </c>
      <c r="H402" t="s">
        <v>1180</v>
      </c>
      <c r="I402" t="s">
        <v>48</v>
      </c>
      <c r="J402" t="s">
        <v>968</v>
      </c>
      <c r="L402">
        <f t="shared" ca="1" si="0"/>
        <v>-46258</v>
      </c>
      <c r="R402" t="s">
        <v>1171</v>
      </c>
      <c r="T402" s="17">
        <v>1500000</v>
      </c>
    </row>
    <row r="403" spans="2:23">
      <c r="B403" t="s">
        <v>96</v>
      </c>
      <c r="C403">
        <v>2025</v>
      </c>
      <c r="D403" t="s">
        <v>2221</v>
      </c>
      <c r="E403" s="12" t="s">
        <v>2237</v>
      </c>
      <c r="F403" s="12" t="s">
        <v>2238</v>
      </c>
      <c r="G403" s="12" t="s">
        <v>2239</v>
      </c>
      <c r="H403" t="s">
        <v>1180</v>
      </c>
      <c r="I403" t="s">
        <v>973</v>
      </c>
      <c r="J403" t="s">
        <v>968</v>
      </c>
      <c r="L403">
        <f t="shared" ca="1" si="0"/>
        <v>-46258</v>
      </c>
      <c r="R403" t="s">
        <v>1171</v>
      </c>
      <c r="T403" s="17">
        <v>729000</v>
      </c>
    </row>
    <row r="404" spans="2:23">
      <c r="B404" t="s">
        <v>96</v>
      </c>
      <c r="C404">
        <v>2025</v>
      </c>
      <c r="D404" t="s">
        <v>2240</v>
      </c>
      <c r="E404" s="12" t="s">
        <v>2241</v>
      </c>
      <c r="F404" s="51" t="s">
        <v>2242</v>
      </c>
      <c r="G404" s="12" t="s">
        <v>2243</v>
      </c>
      <c r="H404" t="s">
        <v>1556</v>
      </c>
      <c r="I404" t="s">
        <v>973</v>
      </c>
      <c r="J404" t="s">
        <v>968</v>
      </c>
      <c r="L404">
        <f t="shared" ca="1" si="0"/>
        <v>-46258</v>
      </c>
      <c r="M404" t="s">
        <v>2244</v>
      </c>
      <c r="N404" s="64">
        <v>1713560507</v>
      </c>
      <c r="P404" t="s">
        <v>2245</v>
      </c>
      <c r="R404" t="s">
        <v>1171</v>
      </c>
      <c r="T404" s="84">
        <v>6226000</v>
      </c>
    </row>
    <row r="405" spans="2:23">
      <c r="B405" t="s">
        <v>96</v>
      </c>
      <c r="C405">
        <v>2025</v>
      </c>
      <c r="D405" t="s">
        <v>2246</v>
      </c>
      <c r="E405" t="s">
        <v>2247</v>
      </c>
      <c r="F405" t="s">
        <v>500</v>
      </c>
      <c r="G405" t="s">
        <v>2248</v>
      </c>
      <c r="H405" t="s">
        <v>967</v>
      </c>
      <c r="I405" t="s">
        <v>48</v>
      </c>
      <c r="J405" t="s">
        <v>968</v>
      </c>
      <c r="K405" s="70">
        <v>46022</v>
      </c>
      <c r="L405">
        <f t="shared" ca="1" si="0"/>
        <v>-236</v>
      </c>
      <c r="M405" t="s">
        <v>2249</v>
      </c>
      <c r="N405" s="64">
        <v>888110931419</v>
      </c>
      <c r="R405" t="s">
        <v>970</v>
      </c>
      <c r="T405" s="17">
        <v>580000</v>
      </c>
      <c r="W405" s="46" t="s">
        <v>971</v>
      </c>
    </row>
    <row r="406" spans="2:23">
      <c r="B406" t="s">
        <v>96</v>
      </c>
      <c r="C406">
        <v>2025</v>
      </c>
      <c r="D406" t="s">
        <v>2246</v>
      </c>
      <c r="E406" t="s">
        <v>2250</v>
      </c>
      <c r="F406" t="s">
        <v>500</v>
      </c>
      <c r="G406" t="s">
        <v>2248</v>
      </c>
      <c r="H406" t="s">
        <v>967</v>
      </c>
      <c r="I406" t="s">
        <v>973</v>
      </c>
      <c r="J406" t="s">
        <v>968</v>
      </c>
      <c r="K406" s="70">
        <v>46081</v>
      </c>
      <c r="L406">
        <f t="shared" ca="1" si="0"/>
        <v>-177</v>
      </c>
      <c r="M406" t="s">
        <v>2251</v>
      </c>
      <c r="R406" t="s">
        <v>970</v>
      </c>
      <c r="T406" s="17">
        <v>729000</v>
      </c>
    </row>
    <row r="407" spans="2:23" s="13" customFormat="1">
      <c r="B407" s="13" t="s">
        <v>96</v>
      </c>
      <c r="C407" s="13">
        <v>2025</v>
      </c>
      <c r="D407" s="13" t="s">
        <v>2252</v>
      </c>
      <c r="E407" s="13" t="s">
        <v>2253</v>
      </c>
      <c r="F407" s="13" t="s">
        <v>2254</v>
      </c>
      <c r="G407" s="13" t="s">
        <v>2255</v>
      </c>
      <c r="H407" s="13" t="s">
        <v>1135</v>
      </c>
      <c r="I407" s="13" t="s">
        <v>973</v>
      </c>
      <c r="J407" s="13" t="s">
        <v>968</v>
      </c>
      <c r="K407" s="69">
        <v>46022</v>
      </c>
      <c r="L407" s="13">
        <f t="shared" ca="1" si="0"/>
        <v>-236</v>
      </c>
      <c r="M407" s="13" t="s">
        <v>2256</v>
      </c>
      <c r="N407" s="71">
        <v>2077377993</v>
      </c>
      <c r="R407" s="13" t="s">
        <v>1171</v>
      </c>
      <c r="T407" s="66">
        <v>9112000</v>
      </c>
    </row>
    <row r="408" spans="2:23" s="13" customFormat="1">
      <c r="B408" s="13" t="s">
        <v>96</v>
      </c>
      <c r="C408" s="13">
        <v>2025</v>
      </c>
      <c r="D408" s="13" t="s">
        <v>2252</v>
      </c>
      <c r="E408" s="13" t="s">
        <v>2253</v>
      </c>
      <c r="F408" s="13" t="s">
        <v>2254</v>
      </c>
      <c r="G408" s="13" t="s">
        <v>2255</v>
      </c>
      <c r="H408" s="13" t="s">
        <v>1135</v>
      </c>
      <c r="I408" s="13" t="s">
        <v>973</v>
      </c>
      <c r="J408" s="13" t="s">
        <v>968</v>
      </c>
      <c r="K408" s="69">
        <v>46022</v>
      </c>
      <c r="L408" s="13">
        <f t="shared" ca="1" si="0"/>
        <v>-236</v>
      </c>
      <c r="N408" s="71">
        <v>1928673400</v>
      </c>
      <c r="R408" s="13" t="s">
        <v>1171</v>
      </c>
      <c r="T408" s="66">
        <v>13392500</v>
      </c>
    </row>
    <row r="409" spans="2:23" ht="30.75">
      <c r="B409" t="s">
        <v>96</v>
      </c>
      <c r="C409">
        <v>2025</v>
      </c>
      <c r="D409" s="2">
        <v>45749</v>
      </c>
      <c r="E409" s="44" t="s">
        <v>2257</v>
      </c>
      <c r="F409" t="s">
        <v>1336</v>
      </c>
      <c r="G409" t="s">
        <v>2173</v>
      </c>
      <c r="H409" t="s">
        <v>1180</v>
      </c>
      <c r="I409" t="s">
        <v>48</v>
      </c>
      <c r="J409" t="s">
        <v>968</v>
      </c>
      <c r="L409">
        <f ca="1">K409-TODAY()</f>
        <v>-46258</v>
      </c>
      <c r="M409" t="s">
        <v>2258</v>
      </c>
      <c r="T409" s="17">
        <v>580000</v>
      </c>
    </row>
    <row r="410" spans="2:23">
      <c r="B410" t="s">
        <v>144</v>
      </c>
      <c r="C410">
        <v>2025</v>
      </c>
      <c r="D410" s="2">
        <v>45660</v>
      </c>
      <c r="E410" s="12" t="s">
        <v>2259</v>
      </c>
      <c r="F410" s="12" t="s">
        <v>2260</v>
      </c>
      <c r="G410" s="12" t="s">
        <v>2261</v>
      </c>
      <c r="H410" t="s">
        <v>1180</v>
      </c>
      <c r="I410" t="s">
        <v>48</v>
      </c>
      <c r="J410" t="s">
        <v>968</v>
      </c>
      <c r="L410">
        <f t="shared" ca="1" si="0"/>
        <v>-46258</v>
      </c>
      <c r="M410" t="s">
        <v>1213</v>
      </c>
      <c r="N410" s="73"/>
      <c r="O410" s="25"/>
      <c r="P410" s="25"/>
      <c r="R410" t="s">
        <v>1171</v>
      </c>
      <c r="T410" s="17">
        <v>2500000</v>
      </c>
      <c r="U410" s="67" t="s">
        <v>2262</v>
      </c>
    </row>
    <row r="411" spans="2:23">
      <c r="B411" t="s">
        <v>144</v>
      </c>
      <c r="C411">
        <v>2025</v>
      </c>
      <c r="D411" s="2">
        <v>45719</v>
      </c>
      <c r="E411" t="s">
        <v>2263</v>
      </c>
      <c r="F411" t="s">
        <v>2264</v>
      </c>
      <c r="G411" t="s">
        <v>2265</v>
      </c>
      <c r="H411" t="s">
        <v>967</v>
      </c>
      <c r="I411" t="s">
        <v>973</v>
      </c>
      <c r="J411" t="s">
        <v>968</v>
      </c>
      <c r="K411" s="70">
        <v>46057</v>
      </c>
      <c r="L411">
        <f t="shared" ca="1" si="0"/>
        <v>-201</v>
      </c>
      <c r="M411" t="s">
        <v>2266</v>
      </c>
      <c r="N411" s="64">
        <v>2078991580</v>
      </c>
      <c r="P411" t="s">
        <v>2267</v>
      </c>
      <c r="R411" t="s">
        <v>970</v>
      </c>
      <c r="T411" s="17">
        <v>578000</v>
      </c>
      <c r="W411" s="46" t="s">
        <v>971</v>
      </c>
    </row>
    <row r="412" spans="2:23">
      <c r="B412" t="s">
        <v>144</v>
      </c>
      <c r="C412">
        <v>2025</v>
      </c>
      <c r="D412" s="2">
        <v>45719</v>
      </c>
      <c r="E412" t="s">
        <v>2268</v>
      </c>
      <c r="F412" t="s">
        <v>2264</v>
      </c>
      <c r="G412" s="25" t="s">
        <v>2269</v>
      </c>
      <c r="H412" t="s">
        <v>967</v>
      </c>
      <c r="I412" t="s">
        <v>48</v>
      </c>
      <c r="J412" t="s">
        <v>968</v>
      </c>
      <c r="K412" s="70">
        <v>46057</v>
      </c>
      <c r="L412">
        <f t="shared" ref="L412:L413" ca="1" si="1">K412-TODAY()</f>
        <v>-201</v>
      </c>
      <c r="M412" t="s">
        <v>2270</v>
      </c>
      <c r="N412" s="64">
        <v>888041007531</v>
      </c>
      <c r="R412" t="s">
        <v>970</v>
      </c>
      <c r="T412" s="17">
        <v>2500000</v>
      </c>
      <c r="V412" s="2">
        <v>45763</v>
      </c>
      <c r="W412" s="46" t="s">
        <v>971</v>
      </c>
    </row>
    <row r="413" spans="2:23">
      <c r="B413" t="s">
        <v>144</v>
      </c>
      <c r="C413">
        <v>2025</v>
      </c>
      <c r="D413" s="2">
        <v>45719</v>
      </c>
      <c r="E413" t="s">
        <v>2268</v>
      </c>
      <c r="F413" t="s">
        <v>2264</v>
      </c>
      <c r="G413" t="s">
        <v>2269</v>
      </c>
      <c r="H413" t="s">
        <v>967</v>
      </c>
      <c r="I413" t="s">
        <v>48</v>
      </c>
      <c r="J413" t="s">
        <v>968</v>
      </c>
      <c r="K413" s="70">
        <v>46057</v>
      </c>
      <c r="L413">
        <f t="shared" ca="1" si="1"/>
        <v>-201</v>
      </c>
      <c r="R413" t="s">
        <v>970</v>
      </c>
      <c r="T413" s="17">
        <v>580000</v>
      </c>
    </row>
    <row r="414" spans="2:23">
      <c r="B414" t="s">
        <v>144</v>
      </c>
      <c r="C414">
        <v>2025</v>
      </c>
      <c r="D414" s="2">
        <v>45750</v>
      </c>
      <c r="E414" s="12" t="s">
        <v>2271</v>
      </c>
      <c r="F414" s="12" t="s">
        <v>2272</v>
      </c>
      <c r="G414" s="12" t="s">
        <v>2273</v>
      </c>
      <c r="H414" t="s">
        <v>967</v>
      </c>
      <c r="I414" t="s">
        <v>48</v>
      </c>
      <c r="J414" t="s">
        <v>968</v>
      </c>
      <c r="K414" s="70">
        <v>45716</v>
      </c>
      <c r="L414">
        <f ca="1">K414-TODAY()</f>
        <v>-542</v>
      </c>
      <c r="M414" t="s">
        <v>2274</v>
      </c>
      <c r="N414" s="64">
        <v>888120902081</v>
      </c>
      <c r="R414" t="s">
        <v>970</v>
      </c>
      <c r="T414" s="17">
        <v>2500000</v>
      </c>
      <c r="W414" s="46" t="s">
        <v>971</v>
      </c>
    </row>
    <row r="415" spans="2:23">
      <c r="B415" t="s">
        <v>144</v>
      </c>
      <c r="C415">
        <v>2025</v>
      </c>
      <c r="D415" s="2">
        <v>45841</v>
      </c>
      <c r="E415" s="74" t="s">
        <v>2275</v>
      </c>
      <c r="F415" s="12" t="s">
        <v>2276</v>
      </c>
      <c r="G415" s="12" t="s">
        <v>2277</v>
      </c>
      <c r="H415" t="s">
        <v>1180</v>
      </c>
      <c r="I415" t="s">
        <v>48</v>
      </c>
      <c r="J415" t="s">
        <v>968</v>
      </c>
      <c r="L415">
        <f t="shared" ref="L415:L478" ca="1" si="2">K415-TODAY()</f>
        <v>-46258</v>
      </c>
      <c r="M415" t="s">
        <v>2278</v>
      </c>
      <c r="R415" t="s">
        <v>1171</v>
      </c>
      <c r="T415" s="17">
        <v>2500000</v>
      </c>
    </row>
    <row r="416" spans="2:23">
      <c r="B416" t="s">
        <v>144</v>
      </c>
      <c r="C416">
        <v>2025</v>
      </c>
      <c r="D416" s="2">
        <v>45841</v>
      </c>
      <c r="E416" s="74" t="s">
        <v>2275</v>
      </c>
      <c r="F416" s="12" t="s">
        <v>2276</v>
      </c>
      <c r="G416" s="12" t="s">
        <v>2277</v>
      </c>
      <c r="H416" t="s">
        <v>1180</v>
      </c>
      <c r="I416" t="s">
        <v>973</v>
      </c>
      <c r="J416" t="s">
        <v>968</v>
      </c>
      <c r="L416">
        <f t="shared" ca="1" si="2"/>
        <v>-46258</v>
      </c>
      <c r="M416" t="s">
        <v>2279</v>
      </c>
      <c r="R416" t="s">
        <v>1171</v>
      </c>
      <c r="T416" s="75">
        <v>992000</v>
      </c>
    </row>
    <row r="417" spans="2:20">
      <c r="B417" t="s">
        <v>144</v>
      </c>
      <c r="C417">
        <v>2025</v>
      </c>
      <c r="D417" s="2">
        <v>45964</v>
      </c>
      <c r="E417" s="12" t="s">
        <v>2280</v>
      </c>
      <c r="F417" s="12" t="s">
        <v>528</v>
      </c>
      <c r="G417" s="12" t="s">
        <v>2281</v>
      </c>
      <c r="H417" t="s">
        <v>1633</v>
      </c>
      <c r="I417" t="s">
        <v>973</v>
      </c>
      <c r="J417" t="s">
        <v>968</v>
      </c>
      <c r="K417" s="70">
        <v>46022</v>
      </c>
      <c r="L417">
        <f t="shared" ca="1" si="2"/>
        <v>-236</v>
      </c>
      <c r="R417" t="s">
        <v>1171</v>
      </c>
      <c r="T417" s="40">
        <v>746000</v>
      </c>
    </row>
    <row r="418" spans="2:20">
      <c r="B418" t="s">
        <v>144</v>
      </c>
      <c r="C418">
        <v>2025</v>
      </c>
      <c r="D418" s="56" t="s">
        <v>2282</v>
      </c>
      <c r="E418" s="12" t="s">
        <v>2283</v>
      </c>
      <c r="F418" s="12" t="s">
        <v>2284</v>
      </c>
      <c r="G418" s="12" t="s">
        <v>2285</v>
      </c>
      <c r="H418" t="s">
        <v>967</v>
      </c>
      <c r="I418" t="s">
        <v>48</v>
      </c>
      <c r="J418" t="s">
        <v>968</v>
      </c>
      <c r="L418">
        <f t="shared" ca="1" si="2"/>
        <v>-46258</v>
      </c>
      <c r="R418" t="s">
        <v>1171</v>
      </c>
      <c r="T418" s="17">
        <v>2500000</v>
      </c>
    </row>
    <row r="419" spans="2:20">
      <c r="B419" t="s">
        <v>144</v>
      </c>
      <c r="C419">
        <v>2025</v>
      </c>
      <c r="D419" s="56" t="s">
        <v>2286</v>
      </c>
      <c r="E419" t="s">
        <v>2287</v>
      </c>
      <c r="F419" t="s">
        <v>2288</v>
      </c>
      <c r="G419" t="s">
        <v>2289</v>
      </c>
      <c r="H419" t="s">
        <v>1135</v>
      </c>
      <c r="I419" t="s">
        <v>973</v>
      </c>
      <c r="J419" t="s">
        <v>968</v>
      </c>
      <c r="K419" s="70">
        <v>46022</v>
      </c>
      <c r="L419">
        <f t="shared" ca="1" si="2"/>
        <v>-236</v>
      </c>
      <c r="R419" t="s">
        <v>1171</v>
      </c>
      <c r="T419" s="93" t="s">
        <v>2290</v>
      </c>
    </row>
    <row r="420" spans="2:20">
      <c r="B420" t="s">
        <v>144</v>
      </c>
      <c r="C420">
        <v>2025</v>
      </c>
      <c r="D420" s="56" t="s">
        <v>2286</v>
      </c>
      <c r="E420" t="s">
        <v>2287</v>
      </c>
      <c r="F420" t="s">
        <v>2288</v>
      </c>
      <c r="G420" s="12" t="s">
        <v>2289</v>
      </c>
      <c r="H420" t="s">
        <v>1135</v>
      </c>
      <c r="I420" t="s">
        <v>973</v>
      </c>
      <c r="J420" t="s">
        <v>968</v>
      </c>
      <c r="K420" s="70">
        <v>46022</v>
      </c>
      <c r="L420">
        <f t="shared" ca="1" si="2"/>
        <v>-236</v>
      </c>
      <c r="R420" t="s">
        <v>1171</v>
      </c>
      <c r="T420" s="94" t="s">
        <v>2291</v>
      </c>
    </row>
    <row r="421" spans="2:20">
      <c r="B421" t="s">
        <v>144</v>
      </c>
      <c r="C421">
        <v>2025</v>
      </c>
      <c r="D421" s="56" t="s">
        <v>2292</v>
      </c>
      <c r="E421" s="12" t="s">
        <v>2293</v>
      </c>
      <c r="F421" s="77" t="s">
        <v>521</v>
      </c>
      <c r="G421" s="12" t="s">
        <v>2294</v>
      </c>
      <c r="H421" t="s">
        <v>1135</v>
      </c>
      <c r="I421" t="s">
        <v>973</v>
      </c>
      <c r="J421" t="s">
        <v>968</v>
      </c>
      <c r="K421" s="70">
        <v>46053</v>
      </c>
      <c r="L421">
        <f t="shared" ca="1" si="2"/>
        <v>-205</v>
      </c>
    </row>
    <row r="422" spans="2:20">
      <c r="B422" t="s">
        <v>144</v>
      </c>
      <c r="C422">
        <v>2025</v>
      </c>
      <c r="D422" s="56">
        <v>45994</v>
      </c>
      <c r="E422" s="44" t="s">
        <v>2295</v>
      </c>
      <c r="F422" t="s">
        <v>2296</v>
      </c>
      <c r="G422" t="s">
        <v>2297</v>
      </c>
      <c r="H422" t="s">
        <v>1364</v>
      </c>
      <c r="I422" t="s">
        <v>48</v>
      </c>
      <c r="J422" t="s">
        <v>968</v>
      </c>
      <c r="L422">
        <f t="shared" ca="1" si="2"/>
        <v>-46258</v>
      </c>
      <c r="T422" s="17"/>
    </row>
    <row r="423" spans="2:20" ht="27.75">
      <c r="B423" t="s">
        <v>144</v>
      </c>
      <c r="C423">
        <v>2025</v>
      </c>
      <c r="D423" s="56" t="s">
        <v>2298</v>
      </c>
      <c r="E423" s="80" t="s">
        <v>2299</v>
      </c>
      <c r="F423" s="12" t="s">
        <v>537</v>
      </c>
      <c r="G423" s="12" t="s">
        <v>2300</v>
      </c>
      <c r="H423" t="s">
        <v>1633</v>
      </c>
      <c r="I423" t="s">
        <v>973</v>
      </c>
      <c r="J423" t="s">
        <v>968</v>
      </c>
      <c r="K423" s="70">
        <v>46022</v>
      </c>
      <c r="L423">
        <f t="shared" ca="1" si="2"/>
        <v>-236</v>
      </c>
      <c r="R423" t="s">
        <v>1171</v>
      </c>
      <c r="T423" s="40">
        <v>903000</v>
      </c>
    </row>
    <row r="424" spans="2:20">
      <c r="B424" t="s">
        <v>144</v>
      </c>
      <c r="C424">
        <v>2025</v>
      </c>
      <c r="D424" s="2">
        <v>45964</v>
      </c>
      <c r="E424" t="s">
        <v>2301</v>
      </c>
      <c r="F424" t="s">
        <v>2302</v>
      </c>
      <c r="G424" s="12" t="s">
        <v>2303</v>
      </c>
      <c r="H424" t="s">
        <v>1180</v>
      </c>
      <c r="I424" t="s">
        <v>973</v>
      </c>
      <c r="J424" t="s">
        <v>968</v>
      </c>
      <c r="R424" t="s">
        <v>1171</v>
      </c>
      <c r="T424" s="17">
        <v>1160000</v>
      </c>
    </row>
    <row r="425" spans="2:20">
      <c r="B425" t="s">
        <v>144</v>
      </c>
      <c r="C425">
        <v>2025</v>
      </c>
      <c r="D425" s="2">
        <v>45964</v>
      </c>
      <c r="E425" t="s">
        <v>2304</v>
      </c>
      <c r="F425" t="s">
        <v>2302</v>
      </c>
      <c r="G425" s="12" t="s">
        <v>2303</v>
      </c>
      <c r="H425" t="s">
        <v>1180</v>
      </c>
      <c r="I425" t="s">
        <v>973</v>
      </c>
      <c r="J425" t="s">
        <v>968</v>
      </c>
      <c r="R425" t="s">
        <v>1171</v>
      </c>
      <c r="T425" s="17">
        <v>1539200</v>
      </c>
    </row>
    <row r="426" spans="2:20">
      <c r="B426" t="s">
        <v>144</v>
      </c>
      <c r="C426">
        <v>2025</v>
      </c>
      <c r="D426" s="2">
        <v>45964</v>
      </c>
      <c r="E426" t="s">
        <v>2305</v>
      </c>
      <c r="F426" t="s">
        <v>2302</v>
      </c>
      <c r="G426" s="12" t="s">
        <v>2303</v>
      </c>
      <c r="H426" t="s">
        <v>1180</v>
      </c>
      <c r="I426" t="s">
        <v>973</v>
      </c>
      <c r="J426" t="s">
        <v>968</v>
      </c>
      <c r="R426" t="s">
        <v>1171</v>
      </c>
      <c r="T426" s="17">
        <v>1242000</v>
      </c>
    </row>
    <row r="427" spans="2:20">
      <c r="B427" t="s">
        <v>144</v>
      </c>
      <c r="C427">
        <v>2025</v>
      </c>
      <c r="D427" s="2">
        <v>45964</v>
      </c>
      <c r="E427" t="s">
        <v>2306</v>
      </c>
      <c r="F427" t="s">
        <v>2302</v>
      </c>
      <c r="G427" s="12" t="s">
        <v>2303</v>
      </c>
      <c r="H427" t="s">
        <v>1180</v>
      </c>
      <c r="I427" t="s">
        <v>973</v>
      </c>
      <c r="J427" t="s">
        <v>968</v>
      </c>
      <c r="R427" t="s">
        <v>1171</v>
      </c>
      <c r="T427">
        <v>910800</v>
      </c>
    </row>
    <row r="428" spans="2:20">
      <c r="B428" t="s">
        <v>144</v>
      </c>
      <c r="C428">
        <v>2025</v>
      </c>
      <c r="D428" s="2">
        <v>45964</v>
      </c>
      <c r="E428" t="s">
        <v>2307</v>
      </c>
      <c r="F428" t="s">
        <v>2302</v>
      </c>
      <c r="G428" s="12" t="s">
        <v>2303</v>
      </c>
      <c r="H428" t="s">
        <v>1180</v>
      </c>
      <c r="I428" t="s">
        <v>973</v>
      </c>
      <c r="J428" t="s">
        <v>968</v>
      </c>
      <c r="R428" t="s">
        <v>1171</v>
      </c>
      <c r="T428">
        <v>729000</v>
      </c>
    </row>
    <row r="429" spans="2:20">
      <c r="B429" t="s">
        <v>144</v>
      </c>
      <c r="C429">
        <v>2025</v>
      </c>
      <c r="D429" s="2">
        <v>45964</v>
      </c>
      <c r="E429" t="s">
        <v>2308</v>
      </c>
      <c r="F429" t="s">
        <v>2302</v>
      </c>
      <c r="G429" s="12" t="s">
        <v>2303</v>
      </c>
      <c r="H429" t="s">
        <v>1180</v>
      </c>
      <c r="I429" t="s">
        <v>973</v>
      </c>
      <c r="J429" t="s">
        <v>968</v>
      </c>
      <c r="R429" t="s">
        <v>1171</v>
      </c>
      <c r="T429">
        <v>2196000</v>
      </c>
    </row>
    <row r="430" spans="2:20">
      <c r="B430" t="s">
        <v>144</v>
      </c>
      <c r="C430">
        <v>2025</v>
      </c>
      <c r="D430" s="2">
        <v>45964</v>
      </c>
      <c r="E430" t="s">
        <v>2309</v>
      </c>
      <c r="F430" t="s">
        <v>2302</v>
      </c>
      <c r="G430" s="12" t="s">
        <v>2303</v>
      </c>
      <c r="H430" t="s">
        <v>1180</v>
      </c>
      <c r="I430" t="s">
        <v>973</v>
      </c>
      <c r="J430" t="s">
        <v>968</v>
      </c>
      <c r="R430" t="s">
        <v>1171</v>
      </c>
      <c r="T430" s="17">
        <v>603850</v>
      </c>
    </row>
    <row r="431" spans="2:20">
      <c r="B431" t="s">
        <v>144</v>
      </c>
      <c r="C431">
        <v>2025</v>
      </c>
      <c r="D431" s="2">
        <v>45964</v>
      </c>
      <c r="E431" t="s">
        <v>2310</v>
      </c>
      <c r="F431" t="s">
        <v>2302</v>
      </c>
      <c r="G431" s="12" t="s">
        <v>2303</v>
      </c>
      <c r="H431" t="s">
        <v>1180</v>
      </c>
      <c r="I431" t="s">
        <v>973</v>
      </c>
      <c r="J431" t="s">
        <v>968</v>
      </c>
      <c r="R431" t="s">
        <v>1171</v>
      </c>
      <c r="T431" s="17">
        <v>2315300</v>
      </c>
    </row>
    <row r="432" spans="2:20">
      <c r="B432" t="s">
        <v>144</v>
      </c>
      <c r="C432">
        <v>2025</v>
      </c>
      <c r="D432" s="2">
        <v>45964</v>
      </c>
      <c r="E432" t="s">
        <v>2311</v>
      </c>
      <c r="F432" t="s">
        <v>2302</v>
      </c>
      <c r="G432" s="12" t="s">
        <v>2303</v>
      </c>
      <c r="H432" t="s">
        <v>1180</v>
      </c>
      <c r="I432" t="s">
        <v>973</v>
      </c>
      <c r="J432" t="s">
        <v>968</v>
      </c>
      <c r="R432" t="s">
        <v>1171</v>
      </c>
      <c r="T432" s="17">
        <v>1372800</v>
      </c>
    </row>
    <row r="433" spans="2:20">
      <c r="B433" t="s">
        <v>144</v>
      </c>
      <c r="C433">
        <v>2025</v>
      </c>
      <c r="D433" s="2">
        <v>45964</v>
      </c>
      <c r="E433" t="s">
        <v>2312</v>
      </c>
      <c r="F433" t="s">
        <v>2302</v>
      </c>
      <c r="G433" s="12" t="s">
        <v>2303</v>
      </c>
      <c r="H433" t="s">
        <v>1180</v>
      </c>
      <c r="I433" t="s">
        <v>1302</v>
      </c>
      <c r="J433" t="s">
        <v>968</v>
      </c>
      <c r="R433" t="s">
        <v>1171</v>
      </c>
      <c r="T433" s="17">
        <v>9981375</v>
      </c>
    </row>
    <row r="434" spans="2:20">
      <c r="B434" t="s">
        <v>144</v>
      </c>
      <c r="C434">
        <v>2025</v>
      </c>
      <c r="D434" s="2">
        <v>45964</v>
      </c>
      <c r="E434" s="44" t="s">
        <v>2313</v>
      </c>
      <c r="F434" t="s">
        <v>2302</v>
      </c>
      <c r="G434" s="12"/>
      <c r="H434" t="s">
        <v>1180</v>
      </c>
      <c r="I434" t="s">
        <v>973</v>
      </c>
      <c r="J434" t="s">
        <v>1119</v>
      </c>
      <c r="R434" t="s">
        <v>1171</v>
      </c>
      <c r="T434" s="17">
        <v>24272000</v>
      </c>
    </row>
    <row r="435" spans="2:20">
      <c r="B435" t="s">
        <v>144</v>
      </c>
      <c r="C435">
        <v>2025</v>
      </c>
      <c r="D435" s="2">
        <v>45964</v>
      </c>
      <c r="E435" t="s">
        <v>2314</v>
      </c>
      <c r="F435" t="s">
        <v>2302</v>
      </c>
      <c r="G435" s="12"/>
      <c r="H435" t="s">
        <v>1180</v>
      </c>
      <c r="I435" t="s">
        <v>973</v>
      </c>
      <c r="J435" t="s">
        <v>1119</v>
      </c>
      <c r="R435" t="s">
        <v>1171</v>
      </c>
      <c r="T435" s="17">
        <v>2080000</v>
      </c>
    </row>
    <row r="436" spans="2:20">
      <c r="B436" t="s">
        <v>144</v>
      </c>
      <c r="C436">
        <v>2025</v>
      </c>
      <c r="D436" s="2">
        <v>45964</v>
      </c>
      <c r="E436" t="s">
        <v>2315</v>
      </c>
      <c r="F436" t="s">
        <v>2302</v>
      </c>
      <c r="G436" s="12"/>
      <c r="H436" t="s">
        <v>1180</v>
      </c>
      <c r="I436" t="s">
        <v>973</v>
      </c>
      <c r="J436" t="s">
        <v>1119</v>
      </c>
      <c r="R436" t="s">
        <v>1171</v>
      </c>
      <c r="T436" s="17">
        <v>2555000</v>
      </c>
    </row>
    <row r="437" spans="2:20">
      <c r="B437" t="s">
        <v>144</v>
      </c>
      <c r="C437">
        <v>2025</v>
      </c>
      <c r="D437" s="2">
        <v>45964</v>
      </c>
      <c r="E437" t="s">
        <v>2316</v>
      </c>
      <c r="F437" t="s">
        <v>2302</v>
      </c>
      <c r="G437" s="12"/>
      <c r="H437" t="s">
        <v>1180</v>
      </c>
      <c r="I437" t="s">
        <v>973</v>
      </c>
      <c r="J437" t="s">
        <v>1119</v>
      </c>
      <c r="R437" t="s">
        <v>1171</v>
      </c>
      <c r="T437" s="17">
        <v>2310000</v>
      </c>
    </row>
    <row r="438" spans="2:20">
      <c r="B438" t="s">
        <v>144</v>
      </c>
      <c r="C438">
        <v>2025</v>
      </c>
      <c r="D438" s="2">
        <v>45964</v>
      </c>
      <c r="E438" t="s">
        <v>2317</v>
      </c>
      <c r="F438" t="s">
        <v>2302</v>
      </c>
      <c r="G438" s="12"/>
      <c r="H438" t="s">
        <v>1180</v>
      </c>
      <c r="I438" t="s">
        <v>973</v>
      </c>
      <c r="J438" t="s">
        <v>1119</v>
      </c>
      <c r="R438" t="s">
        <v>1171</v>
      </c>
      <c r="T438" s="17">
        <v>10934000</v>
      </c>
    </row>
    <row r="439" spans="2:20">
      <c r="B439" t="s">
        <v>144</v>
      </c>
      <c r="C439">
        <v>2025</v>
      </c>
      <c r="D439" s="2">
        <v>45964</v>
      </c>
      <c r="E439" t="s">
        <v>2318</v>
      </c>
      <c r="F439" t="s">
        <v>2302</v>
      </c>
      <c r="G439" s="12"/>
      <c r="H439" t="s">
        <v>1180</v>
      </c>
      <c r="I439" t="s">
        <v>973</v>
      </c>
      <c r="J439" t="s">
        <v>1119</v>
      </c>
      <c r="R439" t="s">
        <v>1171</v>
      </c>
      <c r="T439" s="17">
        <v>14140000</v>
      </c>
    </row>
    <row r="440" spans="2:20">
      <c r="B440" t="s">
        <v>144</v>
      </c>
      <c r="C440">
        <v>2025</v>
      </c>
      <c r="D440" s="2">
        <v>45964</v>
      </c>
      <c r="E440" t="s">
        <v>2319</v>
      </c>
      <c r="F440" t="s">
        <v>2302</v>
      </c>
      <c r="G440" s="12"/>
      <c r="H440" t="s">
        <v>1180</v>
      </c>
      <c r="I440" t="s">
        <v>973</v>
      </c>
      <c r="J440" t="s">
        <v>1119</v>
      </c>
      <c r="R440" t="s">
        <v>1171</v>
      </c>
      <c r="T440" s="17">
        <v>19880000</v>
      </c>
    </row>
    <row r="441" spans="2:20">
      <c r="B441" t="s">
        <v>144</v>
      </c>
      <c r="C441">
        <v>2025</v>
      </c>
      <c r="D441" s="2">
        <v>45964</v>
      </c>
      <c r="E441" t="s">
        <v>2320</v>
      </c>
      <c r="F441" t="s">
        <v>2302</v>
      </c>
      <c r="G441" s="12"/>
      <c r="H441" t="s">
        <v>1180</v>
      </c>
      <c r="I441" t="s">
        <v>973</v>
      </c>
      <c r="J441" t="s">
        <v>1119</v>
      </c>
      <c r="R441" t="s">
        <v>1171</v>
      </c>
      <c r="T441" s="87">
        <v>2310000</v>
      </c>
    </row>
    <row r="442" spans="2:20">
      <c r="B442" t="s">
        <v>144</v>
      </c>
      <c r="C442">
        <v>2025</v>
      </c>
      <c r="D442" s="2">
        <v>45964</v>
      </c>
      <c r="E442" t="s">
        <v>2321</v>
      </c>
      <c r="F442" t="s">
        <v>2302</v>
      </c>
      <c r="G442" s="12"/>
      <c r="H442" t="s">
        <v>1180</v>
      </c>
      <c r="I442" t="s">
        <v>973</v>
      </c>
      <c r="J442" t="s">
        <v>1119</v>
      </c>
      <c r="R442" t="s">
        <v>1171</v>
      </c>
      <c r="T442" s="17">
        <v>2310000</v>
      </c>
    </row>
    <row r="443" spans="2:20">
      <c r="B443" t="s">
        <v>144</v>
      </c>
      <c r="C443">
        <v>2025</v>
      </c>
      <c r="D443" s="2">
        <v>45964</v>
      </c>
      <c r="E443" t="s">
        <v>2322</v>
      </c>
      <c r="F443" t="s">
        <v>2302</v>
      </c>
      <c r="G443" s="12"/>
      <c r="H443" t="s">
        <v>1180</v>
      </c>
      <c r="I443" t="s">
        <v>973</v>
      </c>
      <c r="J443" t="s">
        <v>1119</v>
      </c>
      <c r="R443" t="s">
        <v>1171</v>
      </c>
      <c r="T443" s="87">
        <v>25450000</v>
      </c>
    </row>
    <row r="444" spans="2:20">
      <c r="B444" t="s">
        <v>144</v>
      </c>
      <c r="C444">
        <v>2025</v>
      </c>
      <c r="D444" s="2">
        <v>45964</v>
      </c>
      <c r="E444" t="s">
        <v>2323</v>
      </c>
      <c r="F444" t="s">
        <v>2302</v>
      </c>
      <c r="G444" s="12"/>
      <c r="H444" t="s">
        <v>1180</v>
      </c>
      <c r="I444" t="s">
        <v>973</v>
      </c>
      <c r="J444" t="s">
        <v>1119</v>
      </c>
      <c r="R444" t="s">
        <v>1171</v>
      </c>
      <c r="T444" s="17">
        <v>2300000</v>
      </c>
    </row>
    <row r="445" spans="2:20">
      <c r="B445" t="s">
        <v>144</v>
      </c>
      <c r="C445">
        <v>2025</v>
      </c>
      <c r="D445" s="2">
        <v>45964</v>
      </c>
      <c r="E445" t="s">
        <v>2324</v>
      </c>
      <c r="F445" t="s">
        <v>2302</v>
      </c>
      <c r="G445" s="12"/>
      <c r="H445" t="s">
        <v>1180</v>
      </c>
      <c r="I445" t="s">
        <v>973</v>
      </c>
      <c r="J445" t="s">
        <v>1119</v>
      </c>
      <c r="R445" t="s">
        <v>1171</v>
      </c>
      <c r="T445" s="17">
        <v>745000</v>
      </c>
    </row>
    <row r="446" spans="2:20">
      <c r="B446" t="s">
        <v>144</v>
      </c>
      <c r="C446">
        <v>2025</v>
      </c>
      <c r="D446" s="2">
        <v>45964</v>
      </c>
      <c r="E446" t="s">
        <v>2325</v>
      </c>
      <c r="F446" t="s">
        <v>2302</v>
      </c>
      <c r="G446" s="12"/>
      <c r="H446" t="s">
        <v>1180</v>
      </c>
      <c r="I446" t="s">
        <v>973</v>
      </c>
      <c r="J446" t="s">
        <v>1119</v>
      </c>
      <c r="R446" t="s">
        <v>1171</v>
      </c>
      <c r="T446" s="87">
        <v>510000</v>
      </c>
    </row>
    <row r="447" spans="2:20">
      <c r="B447" t="s">
        <v>144</v>
      </c>
      <c r="C447">
        <v>2025</v>
      </c>
      <c r="D447" s="2">
        <v>45964</v>
      </c>
      <c r="E447" t="s">
        <v>2326</v>
      </c>
      <c r="F447" t="s">
        <v>2302</v>
      </c>
      <c r="G447" s="12"/>
      <c r="H447" t="s">
        <v>1180</v>
      </c>
      <c r="I447" t="s">
        <v>973</v>
      </c>
      <c r="J447" t="s">
        <v>1119</v>
      </c>
      <c r="R447" t="s">
        <v>1171</v>
      </c>
      <c r="T447" s="17">
        <v>310000</v>
      </c>
    </row>
    <row r="448" spans="2:20">
      <c r="B448" t="s">
        <v>144</v>
      </c>
      <c r="C448">
        <v>2025</v>
      </c>
      <c r="D448" s="56" t="s">
        <v>2327</v>
      </c>
      <c r="E448" t="s">
        <v>2328</v>
      </c>
      <c r="F448" t="s">
        <v>2329</v>
      </c>
      <c r="G448" s="12" t="s">
        <v>2330</v>
      </c>
      <c r="H448" t="s">
        <v>1180</v>
      </c>
      <c r="I448" t="s">
        <v>973</v>
      </c>
      <c r="J448" t="s">
        <v>968</v>
      </c>
      <c r="R448" t="s">
        <v>1171</v>
      </c>
      <c r="T448" s="17">
        <v>3633000</v>
      </c>
    </row>
    <row r="449" spans="2:23">
      <c r="B449" t="s">
        <v>183</v>
      </c>
      <c r="C449">
        <v>2025</v>
      </c>
      <c r="D449" s="2">
        <v>45873</v>
      </c>
      <c r="E449" s="12" t="s">
        <v>2331</v>
      </c>
      <c r="F449" s="12" t="s">
        <v>462</v>
      </c>
      <c r="G449" s="12" t="s">
        <v>2332</v>
      </c>
      <c r="H449" t="s">
        <v>1633</v>
      </c>
      <c r="I449" t="s">
        <v>973</v>
      </c>
      <c r="J449" t="s">
        <v>1119</v>
      </c>
      <c r="L449">
        <f t="shared" ca="1" si="2"/>
        <v>-46258</v>
      </c>
      <c r="R449" t="s">
        <v>1171</v>
      </c>
      <c r="T449" s="92">
        <v>3304000</v>
      </c>
    </row>
    <row r="450" spans="2:23">
      <c r="B450" t="s">
        <v>183</v>
      </c>
      <c r="C450">
        <v>2025</v>
      </c>
      <c r="D450" s="2">
        <v>45904</v>
      </c>
      <c r="E450" t="s">
        <v>2333</v>
      </c>
      <c r="F450" t="s">
        <v>519</v>
      </c>
      <c r="G450" t="s">
        <v>2334</v>
      </c>
      <c r="H450" t="s">
        <v>967</v>
      </c>
      <c r="I450" t="s">
        <v>48</v>
      </c>
      <c r="J450" t="s">
        <v>968</v>
      </c>
      <c r="L450">
        <f t="shared" ca="1" si="2"/>
        <v>-46258</v>
      </c>
      <c r="M450" t="s">
        <v>2335</v>
      </c>
      <c r="N450" s="64">
        <v>888100955651</v>
      </c>
      <c r="R450" t="s">
        <v>970</v>
      </c>
      <c r="T450" s="17">
        <v>2500000</v>
      </c>
      <c r="W450" s="46" t="s">
        <v>971</v>
      </c>
    </row>
    <row r="451" spans="2:23">
      <c r="B451" t="s">
        <v>183</v>
      </c>
      <c r="C451">
        <v>2025</v>
      </c>
      <c r="D451" s="2">
        <v>45904</v>
      </c>
      <c r="E451" t="s">
        <v>2336</v>
      </c>
      <c r="F451" t="s">
        <v>519</v>
      </c>
      <c r="G451" t="s">
        <v>2334</v>
      </c>
      <c r="H451" t="s">
        <v>967</v>
      </c>
      <c r="I451" t="s">
        <v>48</v>
      </c>
      <c r="J451" t="s">
        <v>968</v>
      </c>
      <c r="L451">
        <f t="shared" ca="1" si="2"/>
        <v>-46258</v>
      </c>
      <c r="R451" t="s">
        <v>1171</v>
      </c>
      <c r="T451" s="17">
        <v>580000</v>
      </c>
    </row>
    <row r="452" spans="2:23">
      <c r="B452" t="s">
        <v>183</v>
      </c>
      <c r="C452">
        <v>2025</v>
      </c>
      <c r="D452" s="2">
        <v>45904</v>
      </c>
      <c r="E452" t="s">
        <v>2337</v>
      </c>
      <c r="F452" s="81" t="s">
        <v>537</v>
      </c>
      <c r="G452" s="12" t="s">
        <v>2338</v>
      </c>
      <c r="H452" t="s">
        <v>967</v>
      </c>
      <c r="I452" t="s">
        <v>48</v>
      </c>
      <c r="J452" t="s">
        <v>968</v>
      </c>
      <c r="K452" s="70">
        <v>46022</v>
      </c>
      <c r="L452">
        <f t="shared" ca="1" si="2"/>
        <v>-236</v>
      </c>
      <c r="M452" t="s">
        <v>2339</v>
      </c>
      <c r="N452" s="64">
        <v>888100953616</v>
      </c>
      <c r="R452" t="s">
        <v>970</v>
      </c>
      <c r="T452" s="17">
        <v>2500000</v>
      </c>
      <c r="W452" s="46" t="s">
        <v>971</v>
      </c>
    </row>
    <row r="453" spans="2:23">
      <c r="B453" t="s">
        <v>183</v>
      </c>
      <c r="C453">
        <v>2025</v>
      </c>
      <c r="D453" s="2">
        <v>45904</v>
      </c>
      <c r="E453" t="s">
        <v>2337</v>
      </c>
      <c r="F453" s="81" t="s">
        <v>537</v>
      </c>
      <c r="G453" s="12" t="s">
        <v>2338</v>
      </c>
      <c r="H453" t="s">
        <v>967</v>
      </c>
      <c r="I453" t="s">
        <v>48</v>
      </c>
      <c r="J453" t="s">
        <v>968</v>
      </c>
      <c r="K453" s="70">
        <v>46022</v>
      </c>
      <c r="L453">
        <f t="shared" ca="1" si="2"/>
        <v>-236</v>
      </c>
      <c r="M453" t="s">
        <v>2339</v>
      </c>
      <c r="R453" t="s">
        <v>1171</v>
      </c>
      <c r="T453" s="17">
        <v>580000</v>
      </c>
    </row>
    <row r="454" spans="2:23">
      <c r="B454" t="s">
        <v>183</v>
      </c>
      <c r="C454">
        <v>2025</v>
      </c>
      <c r="D454" s="2">
        <v>45934</v>
      </c>
      <c r="E454" s="74" t="s">
        <v>2340</v>
      </c>
      <c r="F454" s="81" t="s">
        <v>543</v>
      </c>
      <c r="G454" s="12" t="s">
        <v>2341</v>
      </c>
      <c r="H454" t="s">
        <v>967</v>
      </c>
      <c r="I454" t="s">
        <v>48</v>
      </c>
      <c r="J454" t="s">
        <v>968</v>
      </c>
      <c r="K454" s="70">
        <v>46022</v>
      </c>
      <c r="L454">
        <f t="shared" ca="1" si="2"/>
        <v>-236</v>
      </c>
      <c r="M454" t="s">
        <v>2342</v>
      </c>
      <c r="N454" s="64">
        <v>888161507965</v>
      </c>
      <c r="R454" t="s">
        <v>1171</v>
      </c>
      <c r="T454" s="17">
        <v>2500000</v>
      </c>
      <c r="W454" s="46" t="s">
        <v>971</v>
      </c>
    </row>
    <row r="455" spans="2:23">
      <c r="B455" t="s">
        <v>183</v>
      </c>
      <c r="C455">
        <v>2025</v>
      </c>
      <c r="D455" s="2">
        <v>45934</v>
      </c>
      <c r="E455" s="74" t="s">
        <v>2343</v>
      </c>
      <c r="F455" s="81" t="s">
        <v>543</v>
      </c>
      <c r="G455" s="12" t="s">
        <v>2341</v>
      </c>
      <c r="H455" t="s">
        <v>967</v>
      </c>
      <c r="I455" t="s">
        <v>48</v>
      </c>
      <c r="J455" t="s">
        <v>968</v>
      </c>
      <c r="K455" s="70">
        <v>46022</v>
      </c>
      <c r="L455">
        <f t="shared" ca="1" si="2"/>
        <v>-236</v>
      </c>
      <c r="R455" t="s">
        <v>1171</v>
      </c>
      <c r="T455" s="17">
        <v>580000</v>
      </c>
    </row>
    <row r="456" spans="2:23">
      <c r="B456" t="s">
        <v>183</v>
      </c>
      <c r="C456">
        <v>2025</v>
      </c>
      <c r="D456" s="2">
        <v>45965</v>
      </c>
      <c r="E456" t="s">
        <v>2344</v>
      </c>
      <c r="F456" t="s">
        <v>2345</v>
      </c>
      <c r="G456" s="12" t="s">
        <v>2346</v>
      </c>
      <c r="H456" t="s">
        <v>967</v>
      </c>
      <c r="I456" t="s">
        <v>973</v>
      </c>
      <c r="J456" t="s">
        <v>968</v>
      </c>
      <c r="L456">
        <f t="shared" ca="1" si="2"/>
        <v>-46258</v>
      </c>
      <c r="M456" t="s">
        <v>2347</v>
      </c>
      <c r="N456" s="64">
        <v>2083468039</v>
      </c>
      <c r="R456" t="s">
        <v>1171</v>
      </c>
      <c r="T456" s="95">
        <v>401000</v>
      </c>
      <c r="W456" s="46" t="s">
        <v>971</v>
      </c>
    </row>
    <row r="457" spans="2:23">
      <c r="B457" t="s">
        <v>183</v>
      </c>
      <c r="C457">
        <v>2025</v>
      </c>
      <c r="D457" s="2" t="s">
        <v>2348</v>
      </c>
      <c r="E457" s="12" t="s">
        <v>2349</v>
      </c>
      <c r="F457" s="12" t="s">
        <v>2350</v>
      </c>
      <c r="G457" s="12" t="s">
        <v>2351</v>
      </c>
      <c r="H457" t="s">
        <v>1633</v>
      </c>
      <c r="I457" t="s">
        <v>973</v>
      </c>
      <c r="J457" t="s">
        <v>968</v>
      </c>
      <c r="K457" s="70">
        <v>46022</v>
      </c>
      <c r="L457">
        <f t="shared" ca="1" si="2"/>
        <v>-236</v>
      </c>
      <c r="M457" t="s">
        <v>2352</v>
      </c>
      <c r="N457" s="64">
        <v>2083981625</v>
      </c>
      <c r="R457" t="s">
        <v>970</v>
      </c>
      <c r="T457" s="40">
        <v>449000</v>
      </c>
      <c r="W457" s="46" t="s">
        <v>971</v>
      </c>
    </row>
    <row r="458" spans="2:23">
      <c r="B458" t="s">
        <v>183</v>
      </c>
      <c r="C458">
        <v>2025</v>
      </c>
      <c r="D458" s="2" t="s">
        <v>2353</v>
      </c>
      <c r="E458" s="12" t="s">
        <v>2354</v>
      </c>
      <c r="F458" s="12" t="s">
        <v>2355</v>
      </c>
      <c r="G458" s="12" t="s">
        <v>2356</v>
      </c>
      <c r="H458" t="s">
        <v>1180</v>
      </c>
      <c r="I458" t="s">
        <v>973</v>
      </c>
      <c r="J458" t="s">
        <v>1119</v>
      </c>
      <c r="L458">
        <f t="shared" ca="1" si="2"/>
        <v>-46258</v>
      </c>
      <c r="R458" t="s">
        <v>1171</v>
      </c>
      <c r="T458" s="17">
        <v>825000</v>
      </c>
    </row>
    <row r="459" spans="2:23">
      <c r="B459" t="s">
        <v>183</v>
      </c>
      <c r="C459">
        <v>2025</v>
      </c>
      <c r="D459" s="2" t="s">
        <v>2353</v>
      </c>
      <c r="E459" s="12" t="s">
        <v>2354</v>
      </c>
      <c r="F459" s="12" t="s">
        <v>2355</v>
      </c>
      <c r="G459" s="12" t="s">
        <v>2356</v>
      </c>
      <c r="H459" t="s">
        <v>1180</v>
      </c>
      <c r="I459" t="s">
        <v>973</v>
      </c>
      <c r="J459" t="s">
        <v>1119</v>
      </c>
      <c r="L459">
        <f t="shared" ca="1" si="2"/>
        <v>-46258</v>
      </c>
      <c r="R459" t="s">
        <v>1171</v>
      </c>
      <c r="T459" s="17">
        <v>575000</v>
      </c>
    </row>
    <row r="460" spans="2:23">
      <c r="B460" t="s">
        <v>183</v>
      </c>
      <c r="C460">
        <v>2025</v>
      </c>
      <c r="D460" s="2" t="s">
        <v>2353</v>
      </c>
      <c r="E460" s="12" t="s">
        <v>2357</v>
      </c>
      <c r="F460" s="12" t="s">
        <v>2355</v>
      </c>
      <c r="G460" s="55" t="s">
        <v>2358</v>
      </c>
      <c r="H460" t="s">
        <v>1180</v>
      </c>
      <c r="I460" t="s">
        <v>973</v>
      </c>
      <c r="J460" t="s">
        <v>968</v>
      </c>
      <c r="L460">
        <f t="shared" ca="1" si="2"/>
        <v>-46258</v>
      </c>
      <c r="M460" t="s">
        <v>2359</v>
      </c>
      <c r="N460" s="64">
        <v>1211551518</v>
      </c>
      <c r="R460" t="s">
        <v>970</v>
      </c>
      <c r="T460" s="17">
        <v>4540000</v>
      </c>
      <c r="V460" s="2">
        <v>45926</v>
      </c>
      <c r="W460" s="46" t="s">
        <v>971</v>
      </c>
    </row>
    <row r="461" spans="2:23">
      <c r="B461" t="s">
        <v>183</v>
      </c>
      <c r="C461">
        <v>2025</v>
      </c>
      <c r="D461" s="2" t="s">
        <v>2353</v>
      </c>
      <c r="E461" s="12" t="s">
        <v>2360</v>
      </c>
      <c r="F461" s="12" t="s">
        <v>2361</v>
      </c>
      <c r="G461" s="12" t="s">
        <v>2362</v>
      </c>
      <c r="H461" t="s">
        <v>1180</v>
      </c>
      <c r="I461" t="s">
        <v>48</v>
      </c>
      <c r="J461" t="s">
        <v>968</v>
      </c>
      <c r="L461">
        <f t="shared" ca="1" si="2"/>
        <v>-46258</v>
      </c>
      <c r="R461" t="s">
        <v>1171</v>
      </c>
      <c r="T461" s="17">
        <v>1500000</v>
      </c>
    </row>
    <row r="462" spans="2:23">
      <c r="B462" t="s">
        <v>183</v>
      </c>
      <c r="C462">
        <v>2025</v>
      </c>
      <c r="D462" s="2" t="s">
        <v>2353</v>
      </c>
      <c r="E462" s="12" t="s">
        <v>2360</v>
      </c>
      <c r="F462" s="12" t="s">
        <v>2361</v>
      </c>
      <c r="G462" s="12" t="s">
        <v>2362</v>
      </c>
      <c r="H462" t="s">
        <v>1180</v>
      </c>
      <c r="I462" t="s">
        <v>973</v>
      </c>
      <c r="J462" t="s">
        <v>968</v>
      </c>
      <c r="L462">
        <f t="shared" ca="1" si="2"/>
        <v>-46258</v>
      </c>
      <c r="R462" t="s">
        <v>1171</v>
      </c>
      <c r="T462" s="17">
        <v>1160000</v>
      </c>
    </row>
    <row r="463" spans="2:23">
      <c r="B463" t="s">
        <v>183</v>
      </c>
      <c r="C463">
        <v>2025</v>
      </c>
      <c r="D463" s="2" t="s">
        <v>2353</v>
      </c>
      <c r="E463" s="12" t="s">
        <v>2360</v>
      </c>
      <c r="F463" s="12" t="s">
        <v>2361</v>
      </c>
      <c r="G463" t="s">
        <v>2362</v>
      </c>
      <c r="H463" t="s">
        <v>1180</v>
      </c>
      <c r="I463" t="s">
        <v>973</v>
      </c>
      <c r="J463" t="s">
        <v>968</v>
      </c>
      <c r="L463">
        <f t="shared" ca="1" si="2"/>
        <v>-46258</v>
      </c>
      <c r="R463" t="s">
        <v>1171</v>
      </c>
      <c r="T463" s="17"/>
    </row>
    <row r="464" spans="2:23">
      <c r="B464" t="s">
        <v>183</v>
      </c>
      <c r="C464">
        <v>2025</v>
      </c>
      <c r="D464" s="2" t="s">
        <v>2353</v>
      </c>
      <c r="E464" s="62" t="s">
        <v>2363</v>
      </c>
      <c r="F464" s="12" t="s">
        <v>1928</v>
      </c>
      <c r="G464" s="12" t="s">
        <v>2364</v>
      </c>
      <c r="H464" t="s">
        <v>1135</v>
      </c>
      <c r="I464" t="s">
        <v>973</v>
      </c>
      <c r="J464" t="s">
        <v>968</v>
      </c>
      <c r="L464">
        <f t="shared" ca="1" si="2"/>
        <v>-46258</v>
      </c>
      <c r="N464" s="25">
        <v>1704486403</v>
      </c>
      <c r="R464" t="s">
        <v>1171</v>
      </c>
      <c r="T464" s="17">
        <v>9271800</v>
      </c>
      <c r="U464" s="17"/>
    </row>
    <row r="465" spans="2:23">
      <c r="B465" t="s">
        <v>183</v>
      </c>
      <c r="C465">
        <v>2025</v>
      </c>
      <c r="D465" s="2" t="s">
        <v>2353</v>
      </c>
      <c r="E465" s="62" t="s">
        <v>2363</v>
      </c>
      <c r="F465" s="12" t="s">
        <v>1928</v>
      </c>
      <c r="G465" s="12" t="s">
        <v>2364</v>
      </c>
      <c r="H465" t="s">
        <v>1135</v>
      </c>
      <c r="I465" t="s">
        <v>973</v>
      </c>
      <c r="J465" t="s">
        <v>968</v>
      </c>
      <c r="L465">
        <f t="shared" ca="1" si="2"/>
        <v>-46258</v>
      </c>
      <c r="N465" s="25">
        <v>1706413718</v>
      </c>
      <c r="R465" t="s">
        <v>1171</v>
      </c>
      <c r="T465" s="17">
        <v>9271800</v>
      </c>
    </row>
    <row r="466" spans="2:23">
      <c r="B466" t="s">
        <v>183</v>
      </c>
      <c r="C466">
        <v>2025</v>
      </c>
      <c r="D466" s="2" t="s">
        <v>2353</v>
      </c>
      <c r="E466" s="62" t="s">
        <v>2363</v>
      </c>
      <c r="F466" s="12" t="s">
        <v>1928</v>
      </c>
      <c r="G466" s="12" t="s">
        <v>2364</v>
      </c>
      <c r="H466" t="s">
        <v>1135</v>
      </c>
      <c r="I466" t="s">
        <v>973</v>
      </c>
      <c r="J466" t="s">
        <v>968</v>
      </c>
      <c r="L466">
        <f t="shared" ca="1" si="2"/>
        <v>-46258</v>
      </c>
      <c r="N466" s="25">
        <v>1704491813</v>
      </c>
      <c r="R466" t="s">
        <v>1171</v>
      </c>
      <c r="T466" s="40">
        <v>27946333</v>
      </c>
    </row>
    <row r="467" spans="2:23">
      <c r="B467" t="s">
        <v>183</v>
      </c>
      <c r="C467">
        <v>2025</v>
      </c>
      <c r="D467" s="2" t="s">
        <v>2353</v>
      </c>
      <c r="E467" s="62" t="s">
        <v>2363</v>
      </c>
      <c r="F467" s="12" t="s">
        <v>1928</v>
      </c>
      <c r="G467" s="12" t="s">
        <v>2364</v>
      </c>
      <c r="H467" t="s">
        <v>1135</v>
      </c>
      <c r="I467" t="s">
        <v>973</v>
      </c>
      <c r="J467" t="s">
        <v>968</v>
      </c>
      <c r="L467">
        <f t="shared" ca="1" si="2"/>
        <v>-46258</v>
      </c>
      <c r="N467" s="25">
        <v>2076488879</v>
      </c>
      <c r="R467" t="s">
        <v>1171</v>
      </c>
      <c r="T467" s="17">
        <v>7901100</v>
      </c>
    </row>
    <row r="468" spans="2:23">
      <c r="B468" t="s">
        <v>183</v>
      </c>
      <c r="C468">
        <v>2025</v>
      </c>
      <c r="D468" s="2" t="s">
        <v>2353</v>
      </c>
      <c r="E468" s="62" t="s">
        <v>2363</v>
      </c>
      <c r="F468" s="12" t="s">
        <v>1928</v>
      </c>
      <c r="G468" s="12" t="s">
        <v>2364</v>
      </c>
      <c r="H468" t="s">
        <v>1135</v>
      </c>
      <c r="I468" t="s">
        <v>973</v>
      </c>
      <c r="J468" t="s">
        <v>968</v>
      </c>
      <c r="L468">
        <f t="shared" ca="1" si="2"/>
        <v>-46258</v>
      </c>
      <c r="M468" s="45" t="s">
        <v>2365</v>
      </c>
      <c r="N468" s="25"/>
      <c r="R468" t="s">
        <v>1171</v>
      </c>
      <c r="T468" s="17">
        <v>7901100</v>
      </c>
    </row>
    <row r="469" spans="2:23">
      <c r="B469" t="s">
        <v>183</v>
      </c>
      <c r="C469">
        <v>2025</v>
      </c>
      <c r="D469" s="2" t="s">
        <v>2353</v>
      </c>
      <c r="E469" s="62" t="s">
        <v>2363</v>
      </c>
      <c r="F469" s="12" t="s">
        <v>1928</v>
      </c>
      <c r="G469" s="12" t="s">
        <v>2364</v>
      </c>
      <c r="H469" t="s">
        <v>1135</v>
      </c>
      <c r="I469" t="s">
        <v>973</v>
      </c>
      <c r="J469" t="s">
        <v>968</v>
      </c>
      <c r="L469">
        <f t="shared" ca="1" si="2"/>
        <v>-46258</v>
      </c>
      <c r="N469" s="25">
        <v>1704491813</v>
      </c>
      <c r="R469" t="s">
        <v>1171</v>
      </c>
      <c r="T469" s="40">
        <v>27946333</v>
      </c>
    </row>
    <row r="470" spans="2:23">
      <c r="B470" t="s">
        <v>183</v>
      </c>
      <c r="C470">
        <v>2025</v>
      </c>
      <c r="D470" s="2" t="s">
        <v>2353</v>
      </c>
      <c r="E470" s="62" t="s">
        <v>2363</v>
      </c>
      <c r="F470" s="12" t="s">
        <v>1928</v>
      </c>
      <c r="G470" s="12" t="s">
        <v>2364</v>
      </c>
      <c r="H470" t="s">
        <v>1135</v>
      </c>
      <c r="I470" t="s">
        <v>973</v>
      </c>
      <c r="J470" t="s">
        <v>968</v>
      </c>
      <c r="L470">
        <f t="shared" ca="1" si="2"/>
        <v>-46258</v>
      </c>
      <c r="N470" s="25">
        <v>1704483805</v>
      </c>
      <c r="R470" t="s">
        <v>1171</v>
      </c>
      <c r="T470" s="40">
        <v>6048900</v>
      </c>
    </row>
    <row r="471" spans="2:23">
      <c r="B471" t="s">
        <v>183</v>
      </c>
      <c r="C471">
        <v>2025</v>
      </c>
      <c r="D471" s="2" t="s">
        <v>2353</v>
      </c>
      <c r="E471" s="62" t="s">
        <v>2363</v>
      </c>
      <c r="F471" s="12" t="s">
        <v>1928</v>
      </c>
      <c r="G471" s="12" t="s">
        <v>2364</v>
      </c>
      <c r="H471" t="s">
        <v>1135</v>
      </c>
      <c r="I471" t="s">
        <v>973</v>
      </c>
      <c r="J471" t="s">
        <v>968</v>
      </c>
      <c r="L471">
        <f t="shared" ca="1" si="2"/>
        <v>-46258</v>
      </c>
      <c r="N471" s="25">
        <v>1706182660</v>
      </c>
      <c r="R471" t="s">
        <v>1171</v>
      </c>
      <c r="T471" s="40">
        <v>13072500</v>
      </c>
    </row>
    <row r="472" spans="2:23" ht="27.75">
      <c r="B472" t="s">
        <v>183</v>
      </c>
      <c r="C472">
        <v>2025</v>
      </c>
      <c r="D472" s="2" t="s">
        <v>2353</v>
      </c>
      <c r="E472" s="80" t="s">
        <v>2366</v>
      </c>
      <c r="F472" s="12" t="s">
        <v>2367</v>
      </c>
      <c r="G472" s="12" t="s">
        <v>2368</v>
      </c>
      <c r="H472" t="s">
        <v>1633</v>
      </c>
      <c r="I472" t="s">
        <v>973</v>
      </c>
      <c r="J472" t="s">
        <v>1119</v>
      </c>
      <c r="L472">
        <f t="shared" ca="1" si="2"/>
        <v>-46258</v>
      </c>
      <c r="R472" t="s">
        <v>1171</v>
      </c>
      <c r="T472" s="40">
        <v>669000</v>
      </c>
    </row>
    <row r="473" spans="2:23" ht="27.75">
      <c r="B473" t="s">
        <v>183</v>
      </c>
      <c r="C473">
        <v>2025</v>
      </c>
      <c r="D473" s="2" t="s">
        <v>2369</v>
      </c>
      <c r="E473" s="80" t="s">
        <v>2370</v>
      </c>
      <c r="F473" s="12" t="s">
        <v>2371</v>
      </c>
      <c r="G473" s="12" t="s">
        <v>2372</v>
      </c>
      <c r="H473" t="s">
        <v>1556</v>
      </c>
      <c r="I473" t="s">
        <v>973</v>
      </c>
      <c r="J473" t="s">
        <v>968</v>
      </c>
      <c r="L473">
        <f t="shared" ca="1" si="2"/>
        <v>-46258</v>
      </c>
      <c r="R473" t="s">
        <v>1171</v>
      </c>
      <c r="T473" s="40">
        <v>1094400</v>
      </c>
    </row>
    <row r="474" spans="2:23" ht="27.75">
      <c r="B474" t="s">
        <v>183</v>
      </c>
      <c r="C474">
        <v>2025</v>
      </c>
      <c r="D474" s="2" t="s">
        <v>2369</v>
      </c>
      <c r="E474" s="80" t="s">
        <v>2370</v>
      </c>
      <c r="F474" s="12" t="s">
        <v>2371</v>
      </c>
      <c r="G474" s="12" t="s">
        <v>2372</v>
      </c>
      <c r="H474" t="s">
        <v>1135</v>
      </c>
      <c r="I474" t="s">
        <v>973</v>
      </c>
      <c r="J474" t="s">
        <v>968</v>
      </c>
      <c r="L474">
        <f t="shared" ca="1" si="2"/>
        <v>-46258</v>
      </c>
      <c r="R474" t="s">
        <v>1171</v>
      </c>
      <c r="T474" s="92">
        <v>2886000</v>
      </c>
    </row>
    <row r="475" spans="2:23">
      <c r="B475" t="s">
        <v>183</v>
      </c>
      <c r="C475">
        <v>2025</v>
      </c>
      <c r="D475" s="2" t="s">
        <v>2373</v>
      </c>
      <c r="E475" s="12" t="s">
        <v>2374</v>
      </c>
      <c r="F475" s="12" t="s">
        <v>2375</v>
      </c>
      <c r="G475" s="12" t="s">
        <v>2376</v>
      </c>
      <c r="H475" t="s">
        <v>967</v>
      </c>
      <c r="I475" t="s">
        <v>48</v>
      </c>
      <c r="J475" t="s">
        <v>968</v>
      </c>
      <c r="L475">
        <f t="shared" ca="1" si="2"/>
        <v>-46258</v>
      </c>
      <c r="M475" t="s">
        <v>2377</v>
      </c>
      <c r="N475" s="64">
        <v>888281352172</v>
      </c>
      <c r="R475" t="s">
        <v>970</v>
      </c>
      <c r="T475" s="17">
        <v>2500000</v>
      </c>
      <c r="W475" s="46" t="s">
        <v>971</v>
      </c>
    </row>
    <row r="476" spans="2:23">
      <c r="B476" t="s">
        <v>183</v>
      </c>
      <c r="C476">
        <v>2025</v>
      </c>
      <c r="D476" s="2" t="s">
        <v>2373</v>
      </c>
      <c r="E476" s="12" t="s">
        <v>2378</v>
      </c>
      <c r="F476" s="12" t="s">
        <v>2375</v>
      </c>
      <c r="G476" s="12" t="s">
        <v>2376</v>
      </c>
      <c r="H476" t="s">
        <v>967</v>
      </c>
      <c r="I476" t="s">
        <v>48</v>
      </c>
      <c r="J476" t="s">
        <v>968</v>
      </c>
      <c r="L476">
        <f t="shared" ca="1" si="2"/>
        <v>-46258</v>
      </c>
      <c r="R476" t="s">
        <v>1171</v>
      </c>
      <c r="T476" s="17">
        <v>580000</v>
      </c>
    </row>
    <row r="477" spans="2:23">
      <c r="B477" t="s">
        <v>183</v>
      </c>
      <c r="C477">
        <v>2025</v>
      </c>
      <c r="D477" s="2" t="s">
        <v>2373</v>
      </c>
      <c r="E477" s="12" t="s">
        <v>2379</v>
      </c>
      <c r="F477" s="12" t="s">
        <v>2375</v>
      </c>
      <c r="G477" s="12" t="s">
        <v>2376</v>
      </c>
      <c r="H477" t="s">
        <v>1633</v>
      </c>
      <c r="I477" t="s">
        <v>973</v>
      </c>
      <c r="J477" t="s">
        <v>968</v>
      </c>
      <c r="L477">
        <f t="shared" ca="1" si="2"/>
        <v>-46258</v>
      </c>
      <c r="M477" t="s">
        <v>2380</v>
      </c>
      <c r="N477" s="64">
        <v>2085963218</v>
      </c>
      <c r="R477" t="s">
        <v>1171</v>
      </c>
      <c r="T477" s="17">
        <v>746000</v>
      </c>
      <c r="W477" s="46" t="s">
        <v>971</v>
      </c>
    </row>
    <row r="478" spans="2:23">
      <c r="B478" t="s">
        <v>183</v>
      </c>
      <c r="C478">
        <v>2025</v>
      </c>
      <c r="D478" s="2" t="s">
        <v>2373</v>
      </c>
      <c r="E478" s="12" t="s">
        <v>2381</v>
      </c>
      <c r="F478" s="12" t="s">
        <v>2382</v>
      </c>
      <c r="G478" s="12" t="s">
        <v>2383</v>
      </c>
      <c r="H478" t="s">
        <v>1633</v>
      </c>
      <c r="I478" t="s">
        <v>973</v>
      </c>
      <c r="J478" t="s">
        <v>968</v>
      </c>
      <c r="L478">
        <f t="shared" ca="1" si="2"/>
        <v>-46258</v>
      </c>
      <c r="M478" t="s">
        <v>2384</v>
      </c>
      <c r="N478" s="64">
        <v>2084760039</v>
      </c>
      <c r="R478" t="s">
        <v>970</v>
      </c>
      <c r="T478" s="17">
        <v>449000</v>
      </c>
      <c r="W478" s="46" t="s">
        <v>971</v>
      </c>
    </row>
    <row r="479" spans="2:23">
      <c r="B479" t="s">
        <v>183</v>
      </c>
      <c r="C479">
        <v>2025</v>
      </c>
      <c r="D479" s="2" t="s">
        <v>2385</v>
      </c>
      <c r="E479" s="12" t="s">
        <v>2386</v>
      </c>
      <c r="F479" s="12"/>
      <c r="G479" s="12"/>
      <c r="H479" t="s">
        <v>967</v>
      </c>
      <c r="I479" t="s">
        <v>48</v>
      </c>
      <c r="J479" t="s">
        <v>968</v>
      </c>
      <c r="M479" t="s">
        <v>2387</v>
      </c>
      <c r="N479" s="64">
        <v>888281354165</v>
      </c>
      <c r="R479" t="s">
        <v>970</v>
      </c>
      <c r="T479" s="17"/>
      <c r="W479" s="46" t="s">
        <v>971</v>
      </c>
    </row>
    <row r="480" spans="2:23">
      <c r="B480" t="s">
        <v>183</v>
      </c>
      <c r="C480">
        <v>2025</v>
      </c>
      <c r="D480" t="s">
        <v>2388</v>
      </c>
      <c r="E480" t="s">
        <v>2389</v>
      </c>
      <c r="F480" t="s">
        <v>2390</v>
      </c>
      <c r="G480" t="s">
        <v>2391</v>
      </c>
      <c r="H480" t="s">
        <v>1633</v>
      </c>
      <c r="I480" t="s">
        <v>973</v>
      </c>
      <c r="J480" t="s">
        <v>968</v>
      </c>
      <c r="K480" s="70">
        <v>46022</v>
      </c>
      <c r="L480">
        <f t="shared" ref="L480" ca="1" si="3">K480-TODAY()</f>
        <v>-236</v>
      </c>
      <c r="M480" t="s">
        <v>2392</v>
      </c>
      <c r="N480" s="64">
        <v>2087134727</v>
      </c>
      <c r="O480">
        <v>2087310298</v>
      </c>
      <c r="R480" t="s">
        <v>970</v>
      </c>
      <c r="T480" s="17">
        <v>1366200</v>
      </c>
      <c r="W480" s="46" t="s">
        <v>971</v>
      </c>
    </row>
    <row r="481" spans="2:23">
      <c r="B481" t="s">
        <v>183</v>
      </c>
      <c r="C481">
        <v>2025</v>
      </c>
      <c r="D481" t="s">
        <v>2388</v>
      </c>
      <c r="E481" t="s">
        <v>2393</v>
      </c>
      <c r="F481" t="s">
        <v>541</v>
      </c>
      <c r="G481" t="s">
        <v>2394</v>
      </c>
      <c r="H481" t="s">
        <v>1633</v>
      </c>
      <c r="I481" t="s">
        <v>48</v>
      </c>
      <c r="J481" t="s">
        <v>968</v>
      </c>
      <c r="K481" s="70">
        <v>46022</v>
      </c>
      <c r="L481">
        <f t="shared" ref="L481:L525" ca="1" si="4">K481-TODAY()</f>
        <v>-236</v>
      </c>
      <c r="M481" t="s">
        <v>2395</v>
      </c>
      <c r="N481" s="64">
        <v>888281322162</v>
      </c>
      <c r="R481" t="s">
        <v>970</v>
      </c>
      <c r="T481" s="17">
        <v>2500000</v>
      </c>
      <c r="W481" s="46" t="s">
        <v>971</v>
      </c>
    </row>
    <row r="482" spans="2:23">
      <c r="B482" t="s">
        <v>183</v>
      </c>
      <c r="C482">
        <v>2025</v>
      </c>
      <c r="D482" t="s">
        <v>2396</v>
      </c>
      <c r="E482" t="s">
        <v>2397</v>
      </c>
      <c r="F482" t="s">
        <v>628</v>
      </c>
      <c r="G482" t="s">
        <v>2398</v>
      </c>
      <c r="H482" t="s">
        <v>1633</v>
      </c>
      <c r="I482" t="s">
        <v>973</v>
      </c>
      <c r="J482" t="s">
        <v>968</v>
      </c>
      <c r="K482" s="70">
        <v>46097</v>
      </c>
      <c r="L482">
        <f t="shared" ca="1" si="4"/>
        <v>-161</v>
      </c>
      <c r="M482" t="s">
        <v>2399</v>
      </c>
      <c r="N482" s="64">
        <v>2087006400</v>
      </c>
      <c r="O482">
        <v>2086954587</v>
      </c>
      <c r="R482" t="s">
        <v>970</v>
      </c>
      <c r="T482" s="17">
        <v>928800</v>
      </c>
      <c r="V482" s="2">
        <v>45827</v>
      </c>
      <c r="W482" s="46" t="s">
        <v>971</v>
      </c>
    </row>
    <row r="483" spans="2:23">
      <c r="B483" t="s">
        <v>183</v>
      </c>
      <c r="C483">
        <v>2025</v>
      </c>
      <c r="D483" t="s">
        <v>2400</v>
      </c>
      <c r="E483" t="s">
        <v>2401</v>
      </c>
      <c r="G483" t="s">
        <v>2402</v>
      </c>
      <c r="H483" t="s">
        <v>1180</v>
      </c>
      <c r="I483" t="s">
        <v>48</v>
      </c>
      <c r="J483" t="s">
        <v>968</v>
      </c>
      <c r="L483">
        <f t="shared" ca="1" si="4"/>
        <v>-46258</v>
      </c>
      <c r="N483" s="64">
        <v>888258193351</v>
      </c>
      <c r="R483" t="s">
        <v>1171</v>
      </c>
      <c r="T483" s="17">
        <v>2500000</v>
      </c>
    </row>
    <row r="484" spans="2:23">
      <c r="B484" t="s">
        <v>212</v>
      </c>
      <c r="C484">
        <v>2025</v>
      </c>
      <c r="D484" s="2">
        <v>45693</v>
      </c>
      <c r="E484" s="44" t="s">
        <v>2403</v>
      </c>
      <c r="G484" t="s">
        <v>2404</v>
      </c>
      <c r="H484" t="s">
        <v>1180</v>
      </c>
      <c r="I484" t="s">
        <v>973</v>
      </c>
      <c r="J484" t="s">
        <v>1119</v>
      </c>
      <c r="L484">
        <f t="shared" ca="1" si="4"/>
        <v>-46258</v>
      </c>
      <c r="R484" t="s">
        <v>1171</v>
      </c>
      <c r="T484" s="17">
        <v>2080000</v>
      </c>
    </row>
    <row r="485" spans="2:23">
      <c r="B485" t="s">
        <v>212</v>
      </c>
      <c r="C485">
        <v>2025</v>
      </c>
      <c r="D485" s="2">
        <v>45693</v>
      </c>
      <c r="E485" t="s">
        <v>2405</v>
      </c>
      <c r="G485" t="s">
        <v>2404</v>
      </c>
      <c r="H485" t="s">
        <v>1180</v>
      </c>
      <c r="I485" t="s">
        <v>973</v>
      </c>
      <c r="J485" t="s">
        <v>1119</v>
      </c>
      <c r="L485">
        <f t="shared" ca="1" si="4"/>
        <v>-46258</v>
      </c>
      <c r="R485" t="s">
        <v>1171</v>
      </c>
      <c r="T485" s="17">
        <v>2555000</v>
      </c>
    </row>
    <row r="486" spans="2:23">
      <c r="B486" t="s">
        <v>212</v>
      </c>
      <c r="C486">
        <v>2025</v>
      </c>
      <c r="D486" s="2">
        <v>45693</v>
      </c>
      <c r="E486" t="s">
        <v>2406</v>
      </c>
      <c r="G486" t="s">
        <v>2404</v>
      </c>
      <c r="H486" t="s">
        <v>1180</v>
      </c>
      <c r="I486" t="s">
        <v>973</v>
      </c>
      <c r="J486" t="s">
        <v>1119</v>
      </c>
      <c r="L486">
        <f t="shared" ca="1" si="4"/>
        <v>-46258</v>
      </c>
      <c r="R486" t="s">
        <v>1171</v>
      </c>
      <c r="T486" s="17">
        <v>2310000</v>
      </c>
    </row>
    <row r="487" spans="2:23">
      <c r="B487" t="s">
        <v>212</v>
      </c>
      <c r="C487">
        <v>2025</v>
      </c>
      <c r="D487" s="2">
        <v>45693</v>
      </c>
      <c r="E487" s="86" t="s">
        <v>2407</v>
      </c>
      <c r="G487" t="s">
        <v>2404</v>
      </c>
      <c r="H487" t="s">
        <v>1180</v>
      </c>
      <c r="I487" t="s">
        <v>973</v>
      </c>
      <c r="J487" t="s">
        <v>1119</v>
      </c>
      <c r="L487">
        <f t="shared" ca="1" si="4"/>
        <v>-46258</v>
      </c>
      <c r="R487" t="s">
        <v>1171</v>
      </c>
      <c r="T487" s="17">
        <v>10934000</v>
      </c>
    </row>
    <row r="488" spans="2:23">
      <c r="B488" t="s">
        <v>212</v>
      </c>
      <c r="C488">
        <v>2025</v>
      </c>
      <c r="D488" s="2">
        <v>45693</v>
      </c>
      <c r="E488" s="86" t="s">
        <v>2408</v>
      </c>
      <c r="G488" t="s">
        <v>2404</v>
      </c>
      <c r="H488" t="s">
        <v>1180</v>
      </c>
      <c r="I488" t="s">
        <v>973</v>
      </c>
      <c r="J488" t="s">
        <v>1119</v>
      </c>
      <c r="L488">
        <f t="shared" ca="1" si="4"/>
        <v>-46258</v>
      </c>
      <c r="R488" t="s">
        <v>1171</v>
      </c>
      <c r="T488" s="17">
        <v>14140000</v>
      </c>
    </row>
    <row r="489" spans="2:23">
      <c r="B489" t="s">
        <v>212</v>
      </c>
      <c r="C489">
        <v>2025</v>
      </c>
      <c r="D489" s="2">
        <v>45693</v>
      </c>
      <c r="E489" s="86" t="s">
        <v>2409</v>
      </c>
      <c r="G489" t="s">
        <v>2404</v>
      </c>
      <c r="H489" t="s">
        <v>1180</v>
      </c>
      <c r="I489" t="s">
        <v>973</v>
      </c>
      <c r="J489" t="s">
        <v>1119</v>
      </c>
      <c r="L489">
        <f t="shared" ca="1" si="4"/>
        <v>-46258</v>
      </c>
      <c r="R489" t="s">
        <v>1171</v>
      </c>
      <c r="T489" s="17">
        <v>19880000</v>
      </c>
    </row>
    <row r="490" spans="2:23">
      <c r="B490" t="s">
        <v>212</v>
      </c>
      <c r="C490">
        <v>2025</v>
      </c>
      <c r="D490" s="2">
        <v>45693</v>
      </c>
      <c r="E490" s="86" t="s">
        <v>2410</v>
      </c>
      <c r="G490" t="s">
        <v>2404</v>
      </c>
      <c r="H490" t="s">
        <v>1180</v>
      </c>
      <c r="I490" t="s">
        <v>973</v>
      </c>
      <c r="J490" t="s">
        <v>1119</v>
      </c>
      <c r="L490">
        <f t="shared" ca="1" si="4"/>
        <v>-46258</v>
      </c>
      <c r="R490" t="s">
        <v>1171</v>
      </c>
      <c r="T490" s="17">
        <v>2310000</v>
      </c>
    </row>
    <row r="491" spans="2:23">
      <c r="B491" t="s">
        <v>212</v>
      </c>
      <c r="C491">
        <v>2025</v>
      </c>
      <c r="D491" s="2">
        <v>45693</v>
      </c>
      <c r="E491" s="86" t="s">
        <v>2411</v>
      </c>
      <c r="G491" t="s">
        <v>2404</v>
      </c>
      <c r="H491" t="s">
        <v>1180</v>
      </c>
      <c r="I491" t="s">
        <v>973</v>
      </c>
      <c r="J491" t="s">
        <v>1119</v>
      </c>
      <c r="L491">
        <f t="shared" ca="1" si="4"/>
        <v>-46258</v>
      </c>
      <c r="R491" t="s">
        <v>1171</v>
      </c>
      <c r="T491" s="17">
        <v>2310000</v>
      </c>
    </row>
    <row r="492" spans="2:23">
      <c r="B492" t="s">
        <v>212</v>
      </c>
      <c r="C492">
        <v>2025</v>
      </c>
      <c r="D492" s="2">
        <v>45693</v>
      </c>
      <c r="E492" s="86" t="s">
        <v>2412</v>
      </c>
      <c r="G492" t="s">
        <v>2404</v>
      </c>
      <c r="H492" t="s">
        <v>1180</v>
      </c>
      <c r="I492" t="s">
        <v>973</v>
      </c>
      <c r="J492" t="s">
        <v>1119</v>
      </c>
      <c r="L492">
        <f t="shared" ca="1" si="4"/>
        <v>-46258</v>
      </c>
      <c r="R492" t="s">
        <v>1171</v>
      </c>
      <c r="T492" s="17">
        <v>25450000</v>
      </c>
    </row>
    <row r="493" spans="2:23">
      <c r="B493" t="s">
        <v>212</v>
      </c>
      <c r="C493">
        <v>2025</v>
      </c>
      <c r="D493" s="2">
        <v>45693</v>
      </c>
      <c r="E493" s="86" t="s">
        <v>2413</v>
      </c>
      <c r="G493" t="s">
        <v>2404</v>
      </c>
      <c r="H493" t="s">
        <v>1180</v>
      </c>
      <c r="I493" t="s">
        <v>973</v>
      </c>
      <c r="J493" t="s">
        <v>1119</v>
      </c>
      <c r="L493">
        <f t="shared" ca="1" si="4"/>
        <v>-46258</v>
      </c>
      <c r="R493" t="s">
        <v>1171</v>
      </c>
      <c r="T493" s="17">
        <v>2300000</v>
      </c>
    </row>
    <row r="494" spans="2:23">
      <c r="B494" t="s">
        <v>212</v>
      </c>
      <c r="C494">
        <v>2025</v>
      </c>
      <c r="D494" s="2">
        <v>45693</v>
      </c>
      <c r="E494" s="86" t="s">
        <v>2414</v>
      </c>
      <c r="G494" t="s">
        <v>2404</v>
      </c>
      <c r="H494" t="s">
        <v>1180</v>
      </c>
      <c r="I494" t="s">
        <v>973</v>
      </c>
      <c r="J494" t="s">
        <v>1119</v>
      </c>
      <c r="L494">
        <f t="shared" ca="1" si="4"/>
        <v>-46258</v>
      </c>
      <c r="R494" t="s">
        <v>1171</v>
      </c>
      <c r="T494" s="17">
        <v>745000</v>
      </c>
    </row>
    <row r="495" spans="2:23">
      <c r="B495" t="s">
        <v>212</v>
      </c>
      <c r="C495">
        <v>2025</v>
      </c>
      <c r="D495" s="2">
        <v>45693</v>
      </c>
      <c r="E495" s="86" t="s">
        <v>2415</v>
      </c>
      <c r="G495" t="s">
        <v>2404</v>
      </c>
      <c r="H495" t="s">
        <v>1180</v>
      </c>
      <c r="I495" t="s">
        <v>973</v>
      </c>
      <c r="J495" t="s">
        <v>1119</v>
      </c>
      <c r="L495">
        <f t="shared" ca="1" si="4"/>
        <v>-46258</v>
      </c>
      <c r="R495" t="s">
        <v>1171</v>
      </c>
      <c r="T495" s="17">
        <v>510000</v>
      </c>
    </row>
    <row r="496" spans="2:23">
      <c r="B496" t="s">
        <v>212</v>
      </c>
      <c r="C496">
        <v>2025</v>
      </c>
      <c r="D496" s="2">
        <v>45693</v>
      </c>
      <c r="E496" s="86" t="s">
        <v>2416</v>
      </c>
      <c r="G496" t="s">
        <v>2404</v>
      </c>
      <c r="H496" t="s">
        <v>1180</v>
      </c>
      <c r="I496" t="s">
        <v>973</v>
      </c>
      <c r="J496" t="s">
        <v>1119</v>
      </c>
      <c r="L496">
        <f t="shared" ca="1" si="4"/>
        <v>-46258</v>
      </c>
      <c r="R496" t="s">
        <v>1171</v>
      </c>
      <c r="T496" s="17">
        <v>310000</v>
      </c>
    </row>
    <row r="497" spans="2:23">
      <c r="B497" t="s">
        <v>212</v>
      </c>
      <c r="C497">
        <v>2025</v>
      </c>
      <c r="D497" s="2">
        <v>45693</v>
      </c>
      <c r="E497" s="12" t="s">
        <v>2417</v>
      </c>
      <c r="F497" s="51" t="s">
        <v>2418</v>
      </c>
      <c r="G497" s="12" t="s">
        <v>2419</v>
      </c>
      <c r="H497" t="s">
        <v>1633</v>
      </c>
      <c r="I497" t="s">
        <v>973</v>
      </c>
      <c r="J497" t="s">
        <v>968</v>
      </c>
      <c r="K497" s="70">
        <v>46022</v>
      </c>
      <c r="L497">
        <f t="shared" ca="1" si="4"/>
        <v>-236</v>
      </c>
      <c r="R497" t="s">
        <v>1171</v>
      </c>
      <c r="T497" s="17">
        <v>1107000</v>
      </c>
    </row>
    <row r="498" spans="2:23">
      <c r="B498" t="s">
        <v>212</v>
      </c>
      <c r="C498">
        <v>2025</v>
      </c>
      <c r="D498" s="2">
        <v>45693</v>
      </c>
      <c r="E498" s="12" t="s">
        <v>2420</v>
      </c>
      <c r="F498" s="51"/>
      <c r="G498" s="12"/>
      <c r="H498" t="s">
        <v>1633</v>
      </c>
      <c r="I498" t="s">
        <v>973</v>
      </c>
      <c r="J498" t="s">
        <v>968</v>
      </c>
      <c r="M498" t="s">
        <v>2421</v>
      </c>
      <c r="N498" s="64">
        <v>2085808322</v>
      </c>
      <c r="O498">
        <v>2086825763</v>
      </c>
      <c r="R498" t="s">
        <v>970</v>
      </c>
      <c r="T498" s="17"/>
      <c r="W498" s="46" t="s">
        <v>971</v>
      </c>
    </row>
    <row r="499" spans="2:23">
      <c r="B499" t="s">
        <v>212</v>
      </c>
      <c r="C499">
        <v>2025</v>
      </c>
      <c r="D499" s="2">
        <v>45693</v>
      </c>
      <c r="E499" s="12" t="s">
        <v>2422</v>
      </c>
      <c r="F499" s="51"/>
      <c r="G499" s="12"/>
      <c r="H499" t="s">
        <v>1633</v>
      </c>
      <c r="I499" t="s">
        <v>973</v>
      </c>
      <c r="J499" t="s">
        <v>968</v>
      </c>
      <c r="M499" t="s">
        <v>2423</v>
      </c>
      <c r="N499" s="64">
        <v>2085629656</v>
      </c>
      <c r="R499" t="s">
        <v>970</v>
      </c>
      <c r="T499" s="17"/>
      <c r="W499" s="46" t="s">
        <v>971</v>
      </c>
    </row>
    <row r="500" spans="2:23">
      <c r="B500" t="s">
        <v>212</v>
      </c>
      <c r="C500">
        <v>2025</v>
      </c>
      <c r="D500" s="2">
        <v>45813</v>
      </c>
      <c r="E500" s="74" t="s">
        <v>2424</v>
      </c>
      <c r="F500" s="12" t="s">
        <v>2425</v>
      </c>
      <c r="G500" s="12" t="s">
        <v>2426</v>
      </c>
      <c r="H500" t="s">
        <v>1633</v>
      </c>
      <c r="I500" t="s">
        <v>973</v>
      </c>
      <c r="J500" t="s">
        <v>968</v>
      </c>
      <c r="K500" s="70">
        <v>46022</v>
      </c>
      <c r="L500">
        <f t="shared" ca="1" si="4"/>
        <v>-236</v>
      </c>
      <c r="R500" t="s">
        <v>1171</v>
      </c>
      <c r="T500" s="96">
        <v>249000</v>
      </c>
    </row>
    <row r="501" spans="2:23">
      <c r="B501" t="s">
        <v>212</v>
      </c>
      <c r="C501">
        <v>2025</v>
      </c>
      <c r="D501" s="2">
        <v>45813</v>
      </c>
      <c r="E501" s="12" t="s">
        <v>2427</v>
      </c>
      <c r="F501" t="s">
        <v>2428</v>
      </c>
      <c r="G501" s="12" t="s">
        <v>2429</v>
      </c>
      <c r="H501" t="s">
        <v>1556</v>
      </c>
      <c r="I501" t="s">
        <v>973</v>
      </c>
      <c r="J501" t="s">
        <v>968</v>
      </c>
      <c r="L501">
        <f t="shared" ca="1" si="4"/>
        <v>-46258</v>
      </c>
      <c r="R501" t="s">
        <v>1171</v>
      </c>
    </row>
    <row r="502" spans="2:23">
      <c r="B502" t="s">
        <v>212</v>
      </c>
      <c r="C502">
        <v>2025</v>
      </c>
      <c r="D502" s="2">
        <v>45843</v>
      </c>
      <c r="E502" s="74" t="s">
        <v>2430</v>
      </c>
      <c r="F502" s="49" t="s">
        <v>2431</v>
      </c>
      <c r="G502" s="12" t="s">
        <v>2432</v>
      </c>
      <c r="H502" t="s">
        <v>1135</v>
      </c>
      <c r="I502" t="s">
        <v>973</v>
      </c>
      <c r="J502" t="s">
        <v>968</v>
      </c>
      <c r="L502">
        <f t="shared" ca="1" si="4"/>
        <v>-46258</v>
      </c>
      <c r="R502" t="s">
        <v>1171</v>
      </c>
      <c r="T502" s="97">
        <v>12602500</v>
      </c>
    </row>
    <row r="503" spans="2:23">
      <c r="B503" t="s">
        <v>212</v>
      </c>
      <c r="C503">
        <v>2025</v>
      </c>
      <c r="D503" s="2" t="s">
        <v>2433</v>
      </c>
      <c r="E503" s="12" t="s">
        <v>2434</v>
      </c>
      <c r="F503" s="49" t="s">
        <v>2435</v>
      </c>
      <c r="G503" s="12" t="s">
        <v>2436</v>
      </c>
      <c r="H503" t="s">
        <v>1135</v>
      </c>
      <c r="I503" t="s">
        <v>973</v>
      </c>
      <c r="J503" t="s">
        <v>968</v>
      </c>
      <c r="L503">
        <f t="shared" ca="1" si="4"/>
        <v>-46258</v>
      </c>
      <c r="R503" t="s">
        <v>1171</v>
      </c>
      <c r="T503" s="98">
        <v>3795666</v>
      </c>
    </row>
    <row r="504" spans="2:23">
      <c r="B504" t="s">
        <v>212</v>
      </c>
      <c r="C504">
        <v>2025</v>
      </c>
      <c r="D504" s="2" t="s">
        <v>2433</v>
      </c>
      <c r="E504" s="12" t="s">
        <v>2437</v>
      </c>
      <c r="F504" s="12" t="s">
        <v>2438</v>
      </c>
      <c r="G504" s="12" t="s">
        <v>2439</v>
      </c>
      <c r="H504" t="s">
        <v>1180</v>
      </c>
      <c r="I504" t="s">
        <v>48</v>
      </c>
      <c r="J504" t="s">
        <v>968</v>
      </c>
      <c r="L504">
        <f t="shared" ca="1" si="4"/>
        <v>-46258</v>
      </c>
      <c r="R504" t="s">
        <v>1171</v>
      </c>
      <c r="T504" s="17">
        <v>2500000</v>
      </c>
    </row>
    <row r="505" spans="2:23">
      <c r="B505" t="s">
        <v>212</v>
      </c>
      <c r="C505">
        <v>2025</v>
      </c>
      <c r="D505" s="2" t="s">
        <v>2433</v>
      </c>
      <c r="E505" s="12" t="s">
        <v>2440</v>
      </c>
      <c r="F505" s="12" t="s">
        <v>2441</v>
      </c>
      <c r="G505" s="12" t="s">
        <v>2442</v>
      </c>
      <c r="H505" t="s">
        <v>1180</v>
      </c>
      <c r="I505" t="s">
        <v>48</v>
      </c>
      <c r="J505" t="s">
        <v>968</v>
      </c>
      <c r="L505">
        <f t="shared" ca="1" si="4"/>
        <v>-46258</v>
      </c>
      <c r="R505" t="s">
        <v>1171</v>
      </c>
      <c r="T505" s="17">
        <v>2500000</v>
      </c>
    </row>
    <row r="506" spans="2:23">
      <c r="B506" t="s">
        <v>212</v>
      </c>
      <c r="C506">
        <v>2025</v>
      </c>
      <c r="D506" s="2" t="s">
        <v>2433</v>
      </c>
      <c r="E506" s="99" t="s">
        <v>2443</v>
      </c>
      <c r="F506" s="12"/>
      <c r="G506" s="12"/>
      <c r="H506" t="s">
        <v>1633</v>
      </c>
      <c r="I506" t="s">
        <v>973</v>
      </c>
      <c r="J506" t="s">
        <v>968</v>
      </c>
      <c r="M506" t="s">
        <v>2444</v>
      </c>
      <c r="N506" s="64">
        <v>2086940549</v>
      </c>
      <c r="R506" t="s">
        <v>970</v>
      </c>
      <c r="T506" s="17"/>
      <c r="W506" s="46" t="s">
        <v>971</v>
      </c>
    </row>
    <row r="507" spans="2:23">
      <c r="B507" t="s">
        <v>212</v>
      </c>
      <c r="C507">
        <v>2025</v>
      </c>
      <c r="D507" t="s">
        <v>2445</v>
      </c>
      <c r="E507" s="99" t="s">
        <v>2446</v>
      </c>
      <c r="F507" t="s">
        <v>2447</v>
      </c>
      <c r="G507" s="99" t="s">
        <v>2448</v>
      </c>
      <c r="H507" t="s">
        <v>1180</v>
      </c>
      <c r="I507" t="s">
        <v>973</v>
      </c>
      <c r="J507" t="s">
        <v>968</v>
      </c>
      <c r="L507">
        <f t="shared" ca="1" si="4"/>
        <v>-46258</v>
      </c>
      <c r="N507" s="99">
        <v>2006823189</v>
      </c>
      <c r="R507" t="s">
        <v>1171</v>
      </c>
      <c r="T507" s="17">
        <v>1396000</v>
      </c>
    </row>
    <row r="508" spans="2:23">
      <c r="B508" t="s">
        <v>212</v>
      </c>
      <c r="C508">
        <v>2025</v>
      </c>
      <c r="D508" t="s">
        <v>2445</v>
      </c>
      <c r="E508" s="99" t="s">
        <v>2449</v>
      </c>
      <c r="F508" t="s">
        <v>2447</v>
      </c>
      <c r="G508" s="99" t="s">
        <v>2448</v>
      </c>
      <c r="H508" t="s">
        <v>1180</v>
      </c>
      <c r="I508" t="s">
        <v>973</v>
      </c>
      <c r="J508" t="s">
        <v>968</v>
      </c>
      <c r="L508">
        <f t="shared" ca="1" si="4"/>
        <v>-46258</v>
      </c>
      <c r="N508" s="63">
        <v>1782681707</v>
      </c>
      <c r="R508" t="s">
        <v>1171</v>
      </c>
      <c r="T508" s="17">
        <v>578000</v>
      </c>
    </row>
    <row r="509" spans="2:23">
      <c r="B509" t="s">
        <v>212</v>
      </c>
      <c r="C509">
        <v>2025</v>
      </c>
      <c r="D509" t="s">
        <v>2445</v>
      </c>
      <c r="E509" s="99" t="s">
        <v>2450</v>
      </c>
      <c r="F509" t="s">
        <v>2447</v>
      </c>
      <c r="G509" s="99" t="s">
        <v>2448</v>
      </c>
      <c r="H509" t="s">
        <v>1180</v>
      </c>
      <c r="I509" t="s">
        <v>973</v>
      </c>
      <c r="J509" t="s">
        <v>968</v>
      </c>
      <c r="L509">
        <f t="shared" ca="1" si="4"/>
        <v>-46258</v>
      </c>
      <c r="N509" s="72">
        <v>1782154370</v>
      </c>
      <c r="O509" s="76">
        <v>1782159098</v>
      </c>
      <c r="R509" t="s">
        <v>1171</v>
      </c>
      <c r="T509" s="17">
        <v>2616000</v>
      </c>
    </row>
    <row r="510" spans="2:23">
      <c r="B510" t="s">
        <v>212</v>
      </c>
      <c r="C510">
        <v>2025</v>
      </c>
      <c r="D510" t="s">
        <v>2445</v>
      </c>
      <c r="E510" s="12" t="s">
        <v>2451</v>
      </c>
      <c r="F510" s="49" t="s">
        <v>2452</v>
      </c>
      <c r="G510" s="12" t="s">
        <v>2453</v>
      </c>
      <c r="H510" t="s">
        <v>1135</v>
      </c>
      <c r="I510" t="s">
        <v>973</v>
      </c>
      <c r="L510">
        <f t="shared" ca="1" si="4"/>
        <v>-46258</v>
      </c>
      <c r="N510" s="72"/>
      <c r="O510" s="76"/>
      <c r="R510" t="s">
        <v>1171</v>
      </c>
      <c r="T510" s="98">
        <v>5250000</v>
      </c>
    </row>
    <row r="511" spans="2:23">
      <c r="B511" t="s">
        <v>212</v>
      </c>
      <c r="C511">
        <v>2025</v>
      </c>
      <c r="D511" t="s">
        <v>2445</v>
      </c>
      <c r="E511" s="12" t="s">
        <v>2454</v>
      </c>
      <c r="F511" t="s">
        <v>2455</v>
      </c>
      <c r="G511" s="55" t="s">
        <v>2456</v>
      </c>
      <c r="H511" t="s">
        <v>967</v>
      </c>
      <c r="I511" t="s">
        <v>973</v>
      </c>
      <c r="L511">
        <f t="shared" ca="1" si="4"/>
        <v>-46258</v>
      </c>
      <c r="N511" s="72"/>
      <c r="O511" s="76"/>
      <c r="R511" t="s">
        <v>1171</v>
      </c>
    </row>
    <row r="512" spans="2:23">
      <c r="B512" t="s">
        <v>212</v>
      </c>
      <c r="C512">
        <v>2025</v>
      </c>
      <c r="D512" t="s">
        <v>2457</v>
      </c>
      <c r="E512" s="12" t="s">
        <v>2458</v>
      </c>
      <c r="F512" s="12" t="s">
        <v>2459</v>
      </c>
      <c r="G512" s="12" t="s">
        <v>2460</v>
      </c>
      <c r="H512" t="s">
        <v>1180</v>
      </c>
      <c r="I512" t="s">
        <v>48</v>
      </c>
      <c r="J512" t="s">
        <v>968</v>
      </c>
      <c r="L512">
        <f t="shared" ca="1" si="4"/>
        <v>-46258</v>
      </c>
      <c r="N512" s="72"/>
      <c r="O512" s="76"/>
      <c r="R512" t="s">
        <v>1171</v>
      </c>
      <c r="T512" s="17">
        <v>2500000</v>
      </c>
    </row>
    <row r="513" spans="2:23">
      <c r="B513" t="s">
        <v>212</v>
      </c>
      <c r="C513">
        <v>2025</v>
      </c>
      <c r="D513" t="s">
        <v>2457</v>
      </c>
      <c r="E513" s="12" t="s">
        <v>2461</v>
      </c>
      <c r="F513" s="12" t="s">
        <v>2462</v>
      </c>
      <c r="G513" s="12" t="s">
        <v>2463</v>
      </c>
      <c r="H513" t="s">
        <v>1180</v>
      </c>
      <c r="I513" t="s">
        <v>48</v>
      </c>
      <c r="J513" t="s">
        <v>968</v>
      </c>
      <c r="L513">
        <f t="shared" ca="1" si="4"/>
        <v>-46258</v>
      </c>
      <c r="N513" s="72"/>
      <c r="O513" s="76"/>
      <c r="R513" t="s">
        <v>1171</v>
      </c>
      <c r="T513" s="17">
        <v>2500000</v>
      </c>
    </row>
    <row r="514" spans="2:23">
      <c r="B514" t="s">
        <v>212</v>
      </c>
      <c r="C514">
        <v>2025</v>
      </c>
      <c r="D514" t="s">
        <v>2457</v>
      </c>
      <c r="E514" s="12" t="s">
        <v>2461</v>
      </c>
      <c r="F514" s="12" t="s">
        <v>2462</v>
      </c>
      <c r="G514" s="12" t="s">
        <v>2463</v>
      </c>
      <c r="H514" t="s">
        <v>1180</v>
      </c>
      <c r="I514" t="s">
        <v>48</v>
      </c>
      <c r="J514" t="s">
        <v>968</v>
      </c>
      <c r="L514">
        <f t="shared" ca="1" si="4"/>
        <v>-46258</v>
      </c>
      <c r="N514" s="72"/>
      <c r="O514" s="76"/>
      <c r="R514" t="s">
        <v>1171</v>
      </c>
      <c r="T514" s="17">
        <v>2500000</v>
      </c>
    </row>
    <row r="515" spans="2:23">
      <c r="B515" t="s">
        <v>212</v>
      </c>
      <c r="C515">
        <v>2025</v>
      </c>
      <c r="D515" t="s">
        <v>2464</v>
      </c>
      <c r="E515" s="12" t="s">
        <v>2465</v>
      </c>
      <c r="F515" s="12" t="s">
        <v>2466</v>
      </c>
      <c r="G515" s="12" t="s">
        <v>2467</v>
      </c>
      <c r="H515" t="s">
        <v>1633</v>
      </c>
      <c r="I515" t="s">
        <v>973</v>
      </c>
      <c r="J515" t="s">
        <v>968</v>
      </c>
      <c r="L515">
        <f t="shared" ca="1" si="4"/>
        <v>-46258</v>
      </c>
      <c r="N515" s="72"/>
      <c r="O515" s="76"/>
      <c r="R515" t="s">
        <v>1171</v>
      </c>
      <c r="T515" s="97">
        <v>5500000</v>
      </c>
    </row>
    <row r="516" spans="2:23">
      <c r="B516" t="s">
        <v>212</v>
      </c>
      <c r="C516">
        <v>2025</v>
      </c>
      <c r="D516" t="s">
        <v>2464</v>
      </c>
      <c r="E516" s="12" t="s">
        <v>2465</v>
      </c>
      <c r="F516" s="12" t="s">
        <v>2466</v>
      </c>
      <c r="G516" s="12" t="s">
        <v>2467</v>
      </c>
      <c r="H516" t="s">
        <v>1633</v>
      </c>
      <c r="I516" t="s">
        <v>973</v>
      </c>
      <c r="J516" t="s">
        <v>968</v>
      </c>
      <c r="L516">
        <f t="shared" ca="1" si="4"/>
        <v>-46258</v>
      </c>
      <c r="N516" s="72"/>
      <c r="O516" s="76"/>
      <c r="R516" t="s">
        <v>1171</v>
      </c>
      <c r="T516" s="98">
        <v>5350000</v>
      </c>
    </row>
    <row r="517" spans="2:23">
      <c r="B517" t="s">
        <v>212</v>
      </c>
      <c r="C517">
        <v>2025</v>
      </c>
      <c r="D517" t="s">
        <v>2464</v>
      </c>
      <c r="E517" s="12" t="s">
        <v>2465</v>
      </c>
      <c r="F517" s="12" t="s">
        <v>2466</v>
      </c>
      <c r="G517" s="12" t="s">
        <v>2467</v>
      </c>
      <c r="H517" t="s">
        <v>1633</v>
      </c>
      <c r="I517" t="s">
        <v>973</v>
      </c>
      <c r="J517" t="s">
        <v>968</v>
      </c>
      <c r="L517">
        <f t="shared" ca="1" si="4"/>
        <v>-46258</v>
      </c>
      <c r="N517" s="72"/>
      <c r="O517" s="76"/>
      <c r="R517" t="s">
        <v>1171</v>
      </c>
      <c r="T517" s="97">
        <v>5070000</v>
      </c>
    </row>
    <row r="518" spans="2:23">
      <c r="B518" t="s">
        <v>212</v>
      </c>
      <c r="C518">
        <v>2025</v>
      </c>
      <c r="D518" t="s">
        <v>2464</v>
      </c>
      <c r="E518" s="12" t="s">
        <v>2465</v>
      </c>
      <c r="F518" s="12" t="s">
        <v>2466</v>
      </c>
      <c r="G518" s="12" t="s">
        <v>2467</v>
      </c>
      <c r="H518" t="s">
        <v>1633</v>
      </c>
      <c r="I518" t="s">
        <v>973</v>
      </c>
      <c r="J518" t="s">
        <v>968</v>
      </c>
      <c r="L518">
        <f t="shared" ca="1" si="4"/>
        <v>-46258</v>
      </c>
      <c r="N518" s="72"/>
      <c r="O518" s="76"/>
      <c r="R518" t="s">
        <v>1171</v>
      </c>
      <c r="T518" s="97">
        <v>5700000</v>
      </c>
    </row>
    <row r="519" spans="2:23">
      <c r="B519" t="s">
        <v>212</v>
      </c>
      <c r="C519">
        <v>2025</v>
      </c>
      <c r="D519" t="s">
        <v>2464</v>
      </c>
      <c r="E519" s="99" t="s">
        <v>2468</v>
      </c>
      <c r="F519" s="12" t="s">
        <v>2469</v>
      </c>
      <c r="G519" s="12" t="s">
        <v>2470</v>
      </c>
      <c r="H519" t="s">
        <v>1633</v>
      </c>
      <c r="I519" t="s">
        <v>973</v>
      </c>
      <c r="L519">
        <f t="shared" ca="1" si="4"/>
        <v>-46258</v>
      </c>
      <c r="N519" s="72"/>
      <c r="O519" s="76"/>
      <c r="R519" t="s">
        <v>1171</v>
      </c>
      <c r="T519" s="17"/>
    </row>
    <row r="520" spans="2:23">
      <c r="B520" t="s">
        <v>212</v>
      </c>
      <c r="C520">
        <v>2025</v>
      </c>
      <c r="D520" t="s">
        <v>2464</v>
      </c>
      <c r="E520" s="12" t="s">
        <v>2471</v>
      </c>
      <c r="F520" s="12" t="s">
        <v>2472</v>
      </c>
      <c r="G520" s="12" t="s">
        <v>2473</v>
      </c>
      <c r="H520" t="s">
        <v>967</v>
      </c>
      <c r="I520" t="s">
        <v>1302</v>
      </c>
      <c r="J520" t="s">
        <v>968</v>
      </c>
      <c r="L520">
        <f t="shared" ca="1" si="4"/>
        <v>-46258</v>
      </c>
      <c r="N520" s="72"/>
      <c r="O520" s="76"/>
      <c r="R520" t="s">
        <v>1171</v>
      </c>
      <c r="T520" s="17">
        <v>3620000</v>
      </c>
    </row>
    <row r="521" spans="2:23" ht="20.25" customHeight="1">
      <c r="B521" t="s">
        <v>261</v>
      </c>
      <c r="C521">
        <v>2025</v>
      </c>
      <c r="D521" s="2">
        <v>45694</v>
      </c>
      <c r="E521" s="12" t="s">
        <v>2474</v>
      </c>
      <c r="F521" s="12" t="s">
        <v>2475</v>
      </c>
      <c r="G521" s="12" t="s">
        <v>2475</v>
      </c>
      <c r="H521" t="s">
        <v>1135</v>
      </c>
      <c r="I521" t="s">
        <v>973</v>
      </c>
      <c r="J521" t="s">
        <v>968</v>
      </c>
      <c r="L521">
        <f t="shared" ca="1" si="4"/>
        <v>-46258</v>
      </c>
      <c r="N521" s="72"/>
      <c r="O521" s="76"/>
      <c r="R521" t="s">
        <v>970</v>
      </c>
      <c r="T521" s="100">
        <v>1668000</v>
      </c>
      <c r="W521" s="46" t="s">
        <v>971</v>
      </c>
    </row>
    <row r="522" spans="2:23">
      <c r="B522" t="s">
        <v>261</v>
      </c>
      <c r="C522">
        <v>2025</v>
      </c>
      <c r="D522" s="2">
        <v>45722</v>
      </c>
      <c r="E522" s="12" t="s">
        <v>2476</v>
      </c>
      <c r="F522" s="12" t="s">
        <v>2477</v>
      </c>
      <c r="G522" s="12" t="s">
        <v>2478</v>
      </c>
      <c r="H522" t="s">
        <v>1633</v>
      </c>
      <c r="I522" t="s">
        <v>973</v>
      </c>
      <c r="J522" t="s">
        <v>968</v>
      </c>
      <c r="L522">
        <f t="shared" ca="1" si="4"/>
        <v>-46258</v>
      </c>
      <c r="N522" s="72"/>
      <c r="O522" s="76"/>
      <c r="T522" s="17"/>
    </row>
    <row r="523" spans="2:23">
      <c r="B523" t="s">
        <v>261</v>
      </c>
      <c r="C523">
        <v>2025</v>
      </c>
      <c r="D523" s="2">
        <v>45722</v>
      </c>
      <c r="E523" t="s">
        <v>2479</v>
      </c>
      <c r="F523" t="s">
        <v>571</v>
      </c>
      <c r="G523" t="s">
        <v>2480</v>
      </c>
      <c r="H523" t="s">
        <v>1633</v>
      </c>
      <c r="I523" t="s">
        <v>973</v>
      </c>
      <c r="J523" t="s">
        <v>1119</v>
      </c>
      <c r="L523">
        <f t="shared" ca="1" si="4"/>
        <v>-46258</v>
      </c>
      <c r="T523" s="17"/>
    </row>
    <row r="524" spans="2:23">
      <c r="B524" t="s">
        <v>261</v>
      </c>
      <c r="C524">
        <v>2025</v>
      </c>
      <c r="D524" s="2">
        <v>45722</v>
      </c>
      <c r="E524" t="s">
        <v>2481</v>
      </c>
      <c r="F524" t="s">
        <v>2447</v>
      </c>
      <c r="G524" s="55" t="s">
        <v>2482</v>
      </c>
      <c r="H524" t="s">
        <v>1180</v>
      </c>
      <c r="I524" t="s">
        <v>973</v>
      </c>
      <c r="J524" t="s">
        <v>1119</v>
      </c>
      <c r="L524">
        <f t="shared" ca="1" si="4"/>
        <v>-46258</v>
      </c>
      <c r="N524" s="64">
        <v>1537575173</v>
      </c>
      <c r="R524" t="s">
        <v>1171</v>
      </c>
      <c r="T524" s="17">
        <v>5208000</v>
      </c>
    </row>
    <row r="525" spans="2:23">
      <c r="B525" t="s">
        <v>261</v>
      </c>
      <c r="C525">
        <v>2025</v>
      </c>
      <c r="D525" s="2">
        <v>45722</v>
      </c>
      <c r="E525" s="99" t="s">
        <v>2483</v>
      </c>
      <c r="F525" t="s">
        <v>2447</v>
      </c>
      <c r="G525" s="55" t="s">
        <v>2482</v>
      </c>
      <c r="H525" t="s">
        <v>1180</v>
      </c>
      <c r="I525" t="s">
        <v>973</v>
      </c>
      <c r="J525" t="s">
        <v>1119</v>
      </c>
      <c r="L525">
        <f t="shared" ca="1" si="4"/>
        <v>-46258</v>
      </c>
      <c r="N525" s="73">
        <v>122431293766</v>
      </c>
      <c r="R525" t="s">
        <v>1171</v>
      </c>
      <c r="T525" s="17">
        <v>330000</v>
      </c>
    </row>
    <row r="526" spans="2:23">
      <c r="B526" t="s">
        <v>261</v>
      </c>
      <c r="C526">
        <v>2025</v>
      </c>
      <c r="D526" s="2">
        <v>45722</v>
      </c>
      <c r="E526" s="99" t="s">
        <v>2476</v>
      </c>
      <c r="F526" s="12" t="s">
        <v>609</v>
      </c>
      <c r="G526" s="12" t="s">
        <v>2478</v>
      </c>
      <c r="H526" t="s">
        <v>967</v>
      </c>
      <c r="I526" t="s">
        <v>48</v>
      </c>
      <c r="J526" t="s">
        <v>968</v>
      </c>
      <c r="N526" s="73"/>
      <c r="R526" t="s">
        <v>1171</v>
      </c>
      <c r="T526" s="17">
        <v>2500000</v>
      </c>
    </row>
    <row r="527" spans="2:23" ht="18.75" customHeight="1">
      <c r="B527" t="s">
        <v>261</v>
      </c>
      <c r="C527">
        <v>2025</v>
      </c>
      <c r="D527" s="2">
        <v>45722</v>
      </c>
      <c r="E527" s="99" t="s">
        <v>2476</v>
      </c>
      <c r="F527" s="12" t="s">
        <v>609</v>
      </c>
      <c r="G527" s="12" t="s">
        <v>2478</v>
      </c>
      <c r="H527" t="s">
        <v>1633</v>
      </c>
      <c r="I527" t="s">
        <v>973</v>
      </c>
      <c r="J527" t="s">
        <v>968</v>
      </c>
      <c r="N527" s="73"/>
      <c r="R527" t="s">
        <v>1171</v>
      </c>
      <c r="T527" s="100">
        <v>1013000</v>
      </c>
    </row>
    <row r="528" spans="2:23" ht="27.75">
      <c r="B528" t="s">
        <v>261</v>
      </c>
      <c r="C528">
        <v>2025</v>
      </c>
      <c r="D528" s="2">
        <v>45722</v>
      </c>
      <c r="E528" s="80" t="s">
        <v>2484</v>
      </c>
      <c r="F528" s="101" t="s">
        <v>571</v>
      </c>
      <c r="G528" s="12" t="s">
        <v>2485</v>
      </c>
      <c r="H528" t="s">
        <v>985</v>
      </c>
      <c r="I528" t="s">
        <v>48</v>
      </c>
      <c r="J528" t="s">
        <v>968</v>
      </c>
      <c r="N528" s="73"/>
      <c r="R528" t="s">
        <v>1171</v>
      </c>
      <c r="T528" s="17">
        <v>2500000</v>
      </c>
    </row>
    <row r="529" spans="2:23">
      <c r="B529" t="s">
        <v>261</v>
      </c>
      <c r="C529">
        <v>2025</v>
      </c>
      <c r="D529" s="2">
        <v>45783</v>
      </c>
      <c r="E529" s="99" t="s">
        <v>2486</v>
      </c>
      <c r="F529" s="12" t="s">
        <v>2487</v>
      </c>
      <c r="G529" s="12" t="s">
        <v>2480</v>
      </c>
      <c r="H529" t="s">
        <v>1633</v>
      </c>
      <c r="I529" t="s">
        <v>973</v>
      </c>
      <c r="J529" t="s">
        <v>1119</v>
      </c>
      <c r="N529" s="73"/>
      <c r="R529" t="s">
        <v>1171</v>
      </c>
      <c r="T529" s="50">
        <v>1489000</v>
      </c>
    </row>
    <row r="530" spans="2:23">
      <c r="B530" t="s">
        <v>261</v>
      </c>
      <c r="C530">
        <v>2025</v>
      </c>
      <c r="D530" s="2">
        <v>45783</v>
      </c>
      <c r="E530" s="99" t="s">
        <v>2488</v>
      </c>
      <c r="F530" s="102" t="s">
        <v>576</v>
      </c>
      <c r="G530" s="12" t="s">
        <v>2489</v>
      </c>
      <c r="H530" t="s">
        <v>967</v>
      </c>
      <c r="I530" t="s">
        <v>48</v>
      </c>
      <c r="J530" t="s">
        <v>968</v>
      </c>
      <c r="N530" s="73"/>
      <c r="R530" t="s">
        <v>1171</v>
      </c>
      <c r="T530" s="17">
        <v>1000000</v>
      </c>
    </row>
    <row r="531" spans="2:23">
      <c r="B531" t="s">
        <v>261</v>
      </c>
      <c r="C531">
        <v>2025</v>
      </c>
      <c r="D531" s="2">
        <v>45967</v>
      </c>
      <c r="E531" s="99" t="s">
        <v>2490</v>
      </c>
      <c r="F531" s="12" t="s">
        <v>2231</v>
      </c>
      <c r="G531" s="12" t="s">
        <v>2491</v>
      </c>
      <c r="H531" t="s">
        <v>1633</v>
      </c>
      <c r="I531" t="s">
        <v>973</v>
      </c>
      <c r="N531" s="73"/>
      <c r="T531" s="17"/>
    </row>
    <row r="532" spans="2:23">
      <c r="B532" t="s">
        <v>261</v>
      </c>
      <c r="C532">
        <v>2025</v>
      </c>
      <c r="D532" t="s">
        <v>2492</v>
      </c>
      <c r="E532" s="12" t="s">
        <v>2493</v>
      </c>
      <c r="F532" s="12" t="s">
        <v>2494</v>
      </c>
      <c r="G532" s="12" t="s">
        <v>2495</v>
      </c>
      <c r="H532" t="s">
        <v>1180</v>
      </c>
      <c r="I532" t="s">
        <v>48</v>
      </c>
      <c r="J532" t="s">
        <v>968</v>
      </c>
      <c r="N532" s="73"/>
      <c r="R532" t="s">
        <v>1171</v>
      </c>
      <c r="T532" s="17">
        <v>2500000</v>
      </c>
    </row>
    <row r="533" spans="2:23">
      <c r="B533" t="s">
        <v>261</v>
      </c>
      <c r="C533">
        <v>2025</v>
      </c>
      <c r="D533" t="s">
        <v>2492</v>
      </c>
      <c r="E533" s="12" t="s">
        <v>2493</v>
      </c>
      <c r="F533" s="12" t="s">
        <v>2494</v>
      </c>
      <c r="G533" s="12" t="s">
        <v>2495</v>
      </c>
      <c r="H533" t="s">
        <v>1180</v>
      </c>
      <c r="I533" t="s">
        <v>973</v>
      </c>
      <c r="J533" t="s">
        <v>968</v>
      </c>
      <c r="N533" s="73"/>
      <c r="R533" t="s">
        <v>1171</v>
      </c>
      <c r="T533" s="17">
        <v>364500</v>
      </c>
    </row>
    <row r="534" spans="2:23">
      <c r="B534" t="s">
        <v>261</v>
      </c>
      <c r="C534">
        <v>2025</v>
      </c>
      <c r="D534" t="s">
        <v>2492</v>
      </c>
      <c r="E534" s="44" t="s">
        <v>2496</v>
      </c>
      <c r="F534" t="s">
        <v>635</v>
      </c>
      <c r="G534" s="12" t="s">
        <v>2497</v>
      </c>
      <c r="H534" t="s">
        <v>1135</v>
      </c>
      <c r="I534" t="s">
        <v>973</v>
      </c>
      <c r="J534" t="s">
        <v>968</v>
      </c>
      <c r="N534" s="64">
        <v>1883030578</v>
      </c>
      <c r="R534" t="s">
        <v>1171</v>
      </c>
      <c r="T534" s="17">
        <v>903000</v>
      </c>
    </row>
    <row r="535" spans="2:23">
      <c r="B535" t="s">
        <v>261</v>
      </c>
      <c r="C535">
        <v>2025</v>
      </c>
      <c r="D535" t="s">
        <v>2492</v>
      </c>
      <c r="E535" s="76" t="s">
        <v>2498</v>
      </c>
      <c r="F535" t="s">
        <v>635</v>
      </c>
      <c r="G535" s="12" t="s">
        <v>2497</v>
      </c>
      <c r="H535" t="s">
        <v>985</v>
      </c>
      <c r="I535" t="s">
        <v>48</v>
      </c>
      <c r="J535" t="s">
        <v>968</v>
      </c>
      <c r="R535" t="s">
        <v>1171</v>
      </c>
      <c r="T535" s="17">
        <v>1500000</v>
      </c>
    </row>
    <row r="536" spans="2:23" ht="28.5" customHeight="1">
      <c r="B536" t="s">
        <v>261</v>
      </c>
      <c r="C536">
        <v>2025</v>
      </c>
      <c r="D536" t="s">
        <v>2499</v>
      </c>
      <c r="E536" s="55" t="s">
        <v>2500</v>
      </c>
      <c r="F536" s="12" t="s">
        <v>2501</v>
      </c>
      <c r="G536" s="12" t="s">
        <v>2502</v>
      </c>
      <c r="H536" t="s">
        <v>1180</v>
      </c>
      <c r="I536" t="s">
        <v>48</v>
      </c>
      <c r="J536" t="s">
        <v>968</v>
      </c>
      <c r="R536" t="s">
        <v>1171</v>
      </c>
      <c r="T536" s="17">
        <v>1500000</v>
      </c>
    </row>
    <row r="537" spans="2:23" ht="27.75">
      <c r="B537" t="s">
        <v>261</v>
      </c>
      <c r="C537">
        <v>2025</v>
      </c>
      <c r="D537" t="s">
        <v>2499</v>
      </c>
      <c r="E537" s="55" t="s">
        <v>2500</v>
      </c>
      <c r="F537" s="12" t="s">
        <v>2501</v>
      </c>
      <c r="G537" s="12" t="s">
        <v>2502</v>
      </c>
      <c r="H537" t="s">
        <v>1180</v>
      </c>
      <c r="I537" t="s">
        <v>973</v>
      </c>
      <c r="J537" t="s">
        <v>968</v>
      </c>
      <c r="R537" t="s">
        <v>1171</v>
      </c>
      <c r="T537" s="17">
        <v>578000</v>
      </c>
    </row>
    <row r="538" spans="2:23">
      <c r="B538" t="s">
        <v>261</v>
      </c>
      <c r="C538">
        <v>2025</v>
      </c>
      <c r="D538" t="s">
        <v>2499</v>
      </c>
      <c r="E538" t="s">
        <v>2503</v>
      </c>
      <c r="F538" s="49" t="s">
        <v>559</v>
      </c>
      <c r="G538" s="12" t="s">
        <v>2504</v>
      </c>
      <c r="H538" t="s">
        <v>967</v>
      </c>
      <c r="I538" t="s">
        <v>48</v>
      </c>
      <c r="J538" t="s">
        <v>968</v>
      </c>
      <c r="R538" t="s">
        <v>1171</v>
      </c>
      <c r="T538" s="17">
        <v>2500000</v>
      </c>
    </row>
    <row r="539" spans="2:23">
      <c r="B539" t="s">
        <v>261</v>
      </c>
      <c r="C539">
        <v>2025</v>
      </c>
      <c r="D539" t="s">
        <v>2505</v>
      </c>
      <c r="E539" s="12" t="s">
        <v>2465</v>
      </c>
      <c r="F539" s="51" t="s">
        <v>2506</v>
      </c>
      <c r="G539" s="12" t="s">
        <v>2507</v>
      </c>
      <c r="H539" t="s">
        <v>1633</v>
      </c>
      <c r="I539" t="s">
        <v>973</v>
      </c>
      <c r="J539" t="s">
        <v>968</v>
      </c>
      <c r="T539" s="120" t="s">
        <v>2508</v>
      </c>
    </row>
    <row r="540" spans="2:23" ht="48.75">
      <c r="B540" t="s">
        <v>261</v>
      </c>
      <c r="C540">
        <v>2025</v>
      </c>
      <c r="D540" t="s">
        <v>2509</v>
      </c>
      <c r="E540" s="121" t="s">
        <v>2510</v>
      </c>
      <c r="F540" s="12" t="s">
        <v>2511</v>
      </c>
      <c r="G540" s="12" t="s">
        <v>2512</v>
      </c>
      <c r="H540" t="s">
        <v>1633</v>
      </c>
      <c r="I540" t="s">
        <v>973</v>
      </c>
      <c r="T540" s="17"/>
    </row>
    <row r="541" spans="2:23">
      <c r="B541" t="s">
        <v>261</v>
      </c>
      <c r="C541">
        <v>2025</v>
      </c>
      <c r="D541" t="s">
        <v>2509</v>
      </c>
      <c r="E541" s="12" t="s">
        <v>2513</v>
      </c>
      <c r="F541" s="102" t="s">
        <v>2514</v>
      </c>
      <c r="G541" s="12" t="s">
        <v>2515</v>
      </c>
      <c r="H541" t="s">
        <v>985</v>
      </c>
      <c r="I541" t="s">
        <v>48</v>
      </c>
      <c r="J541" t="s">
        <v>968</v>
      </c>
      <c r="T541" s="17"/>
    </row>
    <row r="542" spans="2:23">
      <c r="B542" t="s">
        <v>261</v>
      </c>
      <c r="C542">
        <v>2025</v>
      </c>
      <c r="D542" t="s">
        <v>2516</v>
      </c>
      <c r="E542" s="12" t="s">
        <v>2517</v>
      </c>
      <c r="F542" s="49" t="s">
        <v>2518</v>
      </c>
      <c r="G542" s="12" t="s">
        <v>2519</v>
      </c>
      <c r="H542" t="s">
        <v>1180</v>
      </c>
      <c r="I542" t="s">
        <v>973</v>
      </c>
      <c r="T542" s="17"/>
    </row>
    <row r="543" spans="2:23">
      <c r="B543" t="s">
        <v>261</v>
      </c>
      <c r="C543">
        <v>2025</v>
      </c>
      <c r="D543" t="s">
        <v>2520</v>
      </c>
      <c r="E543" s="12" t="s">
        <v>2521</v>
      </c>
      <c r="F543" s="63" t="s">
        <v>2522</v>
      </c>
      <c r="G543" s="12" t="s">
        <v>2523</v>
      </c>
      <c r="H543" t="s">
        <v>1633</v>
      </c>
      <c r="I543" t="s">
        <v>973</v>
      </c>
      <c r="J543" t="s">
        <v>968</v>
      </c>
      <c r="M543" t="s">
        <v>2524</v>
      </c>
      <c r="N543" s="64">
        <v>2089939461</v>
      </c>
      <c r="R543" t="s">
        <v>970</v>
      </c>
      <c r="T543" s="122">
        <v>401000</v>
      </c>
      <c r="W543" s="46" t="s">
        <v>971</v>
      </c>
    </row>
    <row r="544" spans="2:23">
      <c r="B544" t="s">
        <v>274</v>
      </c>
      <c r="C544">
        <v>2025</v>
      </c>
      <c r="D544" s="2">
        <v>45664</v>
      </c>
      <c r="E544" t="s">
        <v>2525</v>
      </c>
      <c r="F544" s="12" t="s">
        <v>628</v>
      </c>
      <c r="G544" s="12" t="s">
        <v>2526</v>
      </c>
      <c r="H544" t="s">
        <v>985</v>
      </c>
      <c r="I544" t="s">
        <v>48</v>
      </c>
      <c r="J544" t="s">
        <v>968</v>
      </c>
      <c r="T544" s="17">
        <v>2500000</v>
      </c>
    </row>
    <row r="545" spans="2:23">
      <c r="B545" t="s">
        <v>274</v>
      </c>
      <c r="C545">
        <v>2025</v>
      </c>
      <c r="D545" s="2">
        <v>45664</v>
      </c>
      <c r="E545" t="s">
        <v>2527</v>
      </c>
      <c r="F545" s="12" t="s">
        <v>593</v>
      </c>
      <c r="G545" s="12" t="s">
        <v>2528</v>
      </c>
      <c r="H545" t="s">
        <v>967</v>
      </c>
      <c r="I545" t="s">
        <v>48</v>
      </c>
      <c r="J545" t="s">
        <v>968</v>
      </c>
      <c r="T545" s="17">
        <v>2500000</v>
      </c>
    </row>
    <row r="546" spans="2:23">
      <c r="B546" t="s">
        <v>274</v>
      </c>
      <c r="C546">
        <v>2025</v>
      </c>
      <c r="D546" s="2">
        <v>45664</v>
      </c>
      <c r="E546" t="s">
        <v>2527</v>
      </c>
      <c r="F546" s="12" t="s">
        <v>593</v>
      </c>
      <c r="G546" s="12" t="s">
        <v>2528</v>
      </c>
      <c r="H546" t="s">
        <v>1633</v>
      </c>
      <c r="I546" t="s">
        <v>973</v>
      </c>
      <c r="T546" s="17"/>
    </row>
    <row r="547" spans="2:23">
      <c r="B547" t="s">
        <v>274</v>
      </c>
      <c r="C547">
        <v>2025</v>
      </c>
      <c r="D547" s="2">
        <v>45695</v>
      </c>
      <c r="E547" s="12" t="s">
        <v>2529</v>
      </c>
      <c r="F547" s="102" t="s">
        <v>548</v>
      </c>
      <c r="G547" s="12" t="s">
        <v>2530</v>
      </c>
      <c r="H547" t="s">
        <v>985</v>
      </c>
      <c r="I547" t="s">
        <v>48</v>
      </c>
      <c r="J547" t="s">
        <v>968</v>
      </c>
      <c r="T547" s="17">
        <v>2500000</v>
      </c>
    </row>
    <row r="548" spans="2:23">
      <c r="B548" t="s">
        <v>274</v>
      </c>
      <c r="C548">
        <v>2025</v>
      </c>
      <c r="D548" s="2">
        <v>45695</v>
      </c>
      <c r="E548" t="s">
        <v>2525</v>
      </c>
      <c r="F548" s="12" t="s">
        <v>628</v>
      </c>
      <c r="G548" s="12" t="s">
        <v>2531</v>
      </c>
      <c r="H548" t="s">
        <v>985</v>
      </c>
      <c r="I548" t="s">
        <v>48</v>
      </c>
      <c r="J548" t="s">
        <v>968</v>
      </c>
      <c r="T548" s="17">
        <v>2500000</v>
      </c>
    </row>
    <row r="549" spans="2:23">
      <c r="B549" t="s">
        <v>274</v>
      </c>
      <c r="C549">
        <v>2025</v>
      </c>
      <c r="D549" s="2">
        <v>45695</v>
      </c>
      <c r="E549" s="12" t="s">
        <v>2532</v>
      </c>
      <c r="F549" s="63" t="s">
        <v>585</v>
      </c>
      <c r="G549" s="12" t="s">
        <v>2533</v>
      </c>
      <c r="H549" t="s">
        <v>967</v>
      </c>
      <c r="I549" t="s">
        <v>48</v>
      </c>
      <c r="J549" t="s">
        <v>968</v>
      </c>
      <c r="T549" s="17">
        <v>580000</v>
      </c>
    </row>
    <row r="550" spans="2:23">
      <c r="B550" t="s">
        <v>274</v>
      </c>
      <c r="C550">
        <v>2025</v>
      </c>
      <c r="D550" s="2">
        <v>45723</v>
      </c>
      <c r="E550" s="12" t="s">
        <v>2534</v>
      </c>
      <c r="F550" s="51" t="s">
        <v>635</v>
      </c>
      <c r="G550" s="12" t="s">
        <v>2535</v>
      </c>
      <c r="H550" t="s">
        <v>1633</v>
      </c>
      <c r="I550" t="s">
        <v>973</v>
      </c>
      <c r="J550" t="s">
        <v>968</v>
      </c>
      <c r="M550" t="s">
        <v>2536</v>
      </c>
      <c r="N550" s="64">
        <v>2089405235</v>
      </c>
      <c r="R550" t="s">
        <v>970</v>
      </c>
      <c r="T550" s="50">
        <v>903000</v>
      </c>
      <c r="W550" s="46" t="s">
        <v>971</v>
      </c>
    </row>
    <row r="551" spans="2:23">
      <c r="B551" t="s">
        <v>274</v>
      </c>
      <c r="C551">
        <v>2025</v>
      </c>
      <c r="D551" s="2">
        <v>45723</v>
      </c>
      <c r="E551" s="12" t="s">
        <v>2537</v>
      </c>
      <c r="F551" s="25" t="s">
        <v>636</v>
      </c>
      <c r="G551" s="12" t="s">
        <v>2538</v>
      </c>
      <c r="H551" t="s">
        <v>967</v>
      </c>
      <c r="I551" t="s">
        <v>48</v>
      </c>
      <c r="J551" t="s">
        <v>968</v>
      </c>
      <c r="T551" s="50">
        <v>20000</v>
      </c>
    </row>
    <row r="552" spans="2:23">
      <c r="B552" t="s">
        <v>274</v>
      </c>
      <c r="C552">
        <v>2025</v>
      </c>
      <c r="D552" s="2">
        <v>45723</v>
      </c>
      <c r="E552" s="12" t="s">
        <v>2537</v>
      </c>
      <c r="F552" s="25" t="s">
        <v>636</v>
      </c>
      <c r="G552" s="12" t="s">
        <v>2538</v>
      </c>
      <c r="H552" t="s">
        <v>967</v>
      </c>
      <c r="I552" t="s">
        <v>1302</v>
      </c>
      <c r="J552" t="s">
        <v>968</v>
      </c>
      <c r="T552" s="50">
        <v>1500000</v>
      </c>
    </row>
    <row r="553" spans="2:23" ht="27.75">
      <c r="B553" t="s">
        <v>274</v>
      </c>
      <c r="C553">
        <v>2025</v>
      </c>
      <c r="D553" s="2">
        <v>45754</v>
      </c>
      <c r="E553" s="55" t="s">
        <v>2539</v>
      </c>
      <c r="F553" s="12" t="s">
        <v>593</v>
      </c>
      <c r="G553" s="55" t="s">
        <v>2540</v>
      </c>
      <c r="H553" t="s">
        <v>967</v>
      </c>
      <c r="I553" t="s">
        <v>48</v>
      </c>
      <c r="T553" s="17">
        <v>1000000</v>
      </c>
    </row>
    <row r="554" spans="2:23">
      <c r="B554" t="s">
        <v>274</v>
      </c>
      <c r="C554">
        <v>2025</v>
      </c>
      <c r="D554" s="2">
        <v>45876</v>
      </c>
      <c r="E554" s="12" t="s">
        <v>2541</v>
      </c>
      <c r="F554" t="s">
        <v>2542</v>
      </c>
      <c r="G554" s="12" t="s">
        <v>2543</v>
      </c>
      <c r="H554" t="s">
        <v>1180</v>
      </c>
      <c r="I554" t="s">
        <v>973</v>
      </c>
      <c r="T554" s="17"/>
    </row>
    <row r="555" spans="2:23">
      <c r="B555" t="s">
        <v>274</v>
      </c>
      <c r="C555">
        <v>2025</v>
      </c>
      <c r="D555" s="2">
        <v>45876</v>
      </c>
      <c r="E555" s="12" t="s">
        <v>2544</v>
      </c>
      <c r="F555" s="12" t="s">
        <v>2545</v>
      </c>
      <c r="G555" s="12" t="s">
        <v>2546</v>
      </c>
      <c r="H555" t="s">
        <v>1633</v>
      </c>
      <c r="I555" t="s">
        <v>973</v>
      </c>
      <c r="J555" t="s">
        <v>1119</v>
      </c>
      <c r="T555" s="40">
        <v>439000</v>
      </c>
    </row>
    <row r="556" spans="2:23">
      <c r="B556" t="s">
        <v>274</v>
      </c>
      <c r="C556">
        <v>2025</v>
      </c>
      <c r="D556" s="2">
        <v>45876</v>
      </c>
      <c r="E556" s="12" t="s">
        <v>2547</v>
      </c>
      <c r="F556" t="s">
        <v>2548</v>
      </c>
      <c r="G556" s="12" t="s">
        <v>2549</v>
      </c>
      <c r="H556" t="s">
        <v>1180</v>
      </c>
      <c r="I556" t="s">
        <v>973</v>
      </c>
      <c r="J556" t="s">
        <v>968</v>
      </c>
      <c r="T556" s="17"/>
    </row>
    <row r="557" spans="2:23">
      <c r="B557" t="s">
        <v>274</v>
      </c>
      <c r="C557">
        <v>2025</v>
      </c>
      <c r="D557" s="2">
        <v>45876</v>
      </c>
      <c r="E557" s="12" t="s">
        <v>2550</v>
      </c>
      <c r="F557" s="123" t="s">
        <v>2551</v>
      </c>
      <c r="G557" s="12" t="s">
        <v>2552</v>
      </c>
      <c r="H557" t="s">
        <v>1180</v>
      </c>
      <c r="I557" t="s">
        <v>48</v>
      </c>
      <c r="J557" t="s">
        <v>968</v>
      </c>
      <c r="T557" s="17"/>
    </row>
    <row r="558" spans="2:23">
      <c r="B558" t="s">
        <v>274</v>
      </c>
      <c r="C558">
        <v>2025</v>
      </c>
      <c r="D558" s="2">
        <v>45876</v>
      </c>
      <c r="E558" s="12" t="s">
        <v>2553</v>
      </c>
      <c r="F558" s="12" t="s">
        <v>2554</v>
      </c>
      <c r="G558" s="12" t="s">
        <v>2555</v>
      </c>
      <c r="H558" t="s">
        <v>967</v>
      </c>
      <c r="I558" t="s">
        <v>48</v>
      </c>
      <c r="T558" s="17">
        <v>200000</v>
      </c>
    </row>
    <row r="559" spans="2:23">
      <c r="B559" t="s">
        <v>274</v>
      </c>
      <c r="C559">
        <v>2025</v>
      </c>
      <c r="D559" s="2">
        <v>45907</v>
      </c>
      <c r="E559" t="s">
        <v>2556</v>
      </c>
      <c r="F559" s="12" t="s">
        <v>2557</v>
      </c>
      <c r="G559" s="12" t="s">
        <v>2558</v>
      </c>
      <c r="H559" t="s">
        <v>967</v>
      </c>
      <c r="I559" t="s">
        <v>48</v>
      </c>
      <c r="T559" s="17"/>
    </row>
    <row r="560" spans="2:23" ht="27.75">
      <c r="B560" t="s">
        <v>274</v>
      </c>
      <c r="C560">
        <v>2025</v>
      </c>
      <c r="D560" s="2">
        <v>45907</v>
      </c>
      <c r="E560" s="55" t="s">
        <v>2559</v>
      </c>
      <c r="F560" s="12" t="s">
        <v>593</v>
      </c>
      <c r="G560" s="12" t="s">
        <v>2560</v>
      </c>
      <c r="H560" t="s">
        <v>967</v>
      </c>
      <c r="I560" t="s">
        <v>48</v>
      </c>
      <c r="T560" s="17"/>
    </row>
    <row r="561" spans="2:20">
      <c r="B561" t="s">
        <v>274</v>
      </c>
      <c r="C561">
        <v>2025</v>
      </c>
      <c r="D561" s="2">
        <v>45937</v>
      </c>
      <c r="E561" t="s">
        <v>2561</v>
      </c>
      <c r="F561" s="102" t="s">
        <v>559</v>
      </c>
      <c r="G561" s="12" t="s">
        <v>2562</v>
      </c>
      <c r="H561" t="s">
        <v>967</v>
      </c>
      <c r="I561" t="s">
        <v>48</v>
      </c>
      <c r="T561" s="17"/>
    </row>
    <row r="562" spans="2:20">
      <c r="B562" t="s">
        <v>274</v>
      </c>
      <c r="C562">
        <v>2025</v>
      </c>
      <c r="D562" s="2">
        <v>45937</v>
      </c>
      <c r="E562" t="s">
        <v>2561</v>
      </c>
      <c r="F562" s="102" t="s">
        <v>559</v>
      </c>
      <c r="G562" s="12" t="s">
        <v>2562</v>
      </c>
      <c r="H562" t="s">
        <v>967</v>
      </c>
      <c r="I562" t="s">
        <v>48</v>
      </c>
      <c r="T562" s="17"/>
    </row>
    <row r="563" spans="2:20">
      <c r="B563" t="s">
        <v>274</v>
      </c>
      <c r="C563">
        <v>2025</v>
      </c>
      <c r="D563" s="2">
        <v>45937</v>
      </c>
      <c r="E563" t="s">
        <v>2561</v>
      </c>
      <c r="F563" s="102" t="s">
        <v>559</v>
      </c>
      <c r="G563" s="12" t="s">
        <v>2562</v>
      </c>
      <c r="H563" t="s">
        <v>967</v>
      </c>
      <c r="I563" t="s">
        <v>48</v>
      </c>
      <c r="T563" s="17"/>
    </row>
    <row r="564" spans="2:20">
      <c r="B564" t="s">
        <v>274</v>
      </c>
      <c r="C564">
        <v>2025</v>
      </c>
      <c r="D564" s="2">
        <v>45968</v>
      </c>
      <c r="E564" t="s">
        <v>643</v>
      </c>
      <c r="F564" s="12" t="s">
        <v>642</v>
      </c>
      <c r="G564" s="12" t="s">
        <v>2563</v>
      </c>
      <c r="H564" t="s">
        <v>1633</v>
      </c>
      <c r="I564" t="s">
        <v>48</v>
      </c>
      <c r="J564" t="s">
        <v>968</v>
      </c>
      <c r="T564" s="17">
        <v>249000</v>
      </c>
    </row>
    <row r="565" spans="2:20">
      <c r="B565" t="s">
        <v>274</v>
      </c>
      <c r="C565">
        <v>2025</v>
      </c>
      <c r="D565" s="2">
        <v>45968</v>
      </c>
      <c r="E565" t="s">
        <v>2564</v>
      </c>
      <c r="F565" s="12" t="s">
        <v>590</v>
      </c>
      <c r="G565" s="12" t="s">
        <v>2565</v>
      </c>
      <c r="H565" t="s">
        <v>967</v>
      </c>
      <c r="I565" t="s">
        <v>48</v>
      </c>
      <c r="T565" s="17"/>
    </row>
    <row r="566" spans="2:20">
      <c r="B566" t="s">
        <v>274</v>
      </c>
      <c r="C566">
        <v>2025</v>
      </c>
      <c r="D566" s="2" t="s">
        <v>2566</v>
      </c>
      <c r="E566" t="s">
        <v>2567</v>
      </c>
      <c r="F566" s="12" t="s">
        <v>2367</v>
      </c>
      <c r="G566" s="12" t="s">
        <v>2568</v>
      </c>
      <c r="H566" t="s">
        <v>1633</v>
      </c>
      <c r="I566" t="s">
        <v>973</v>
      </c>
      <c r="J566" t="s">
        <v>1119</v>
      </c>
      <c r="T566" s="17">
        <v>669000</v>
      </c>
    </row>
    <row r="567" spans="2:20">
      <c r="B567" t="s">
        <v>274</v>
      </c>
      <c r="C567">
        <v>2025</v>
      </c>
      <c r="D567" s="2" t="s">
        <v>2569</v>
      </c>
      <c r="E567" s="12" t="s">
        <v>2570</v>
      </c>
      <c r="F567" t="s">
        <v>2571</v>
      </c>
      <c r="G567" s="12" t="s">
        <v>2572</v>
      </c>
      <c r="H567" t="s">
        <v>1180</v>
      </c>
      <c r="I567" t="s">
        <v>973</v>
      </c>
      <c r="J567" t="s">
        <v>1119</v>
      </c>
      <c r="T567" s="17"/>
    </row>
    <row r="568" spans="2:20">
      <c r="B568" t="s">
        <v>274</v>
      </c>
      <c r="C568">
        <v>2025</v>
      </c>
      <c r="D568" s="2" t="s">
        <v>2569</v>
      </c>
      <c r="E568" s="12" t="s">
        <v>2570</v>
      </c>
      <c r="F568" t="s">
        <v>2571</v>
      </c>
      <c r="G568" s="12" t="s">
        <v>2572</v>
      </c>
      <c r="H568" t="s">
        <v>1180</v>
      </c>
      <c r="I568" t="s">
        <v>973</v>
      </c>
      <c r="J568" t="s">
        <v>1119</v>
      </c>
      <c r="T568" s="17"/>
    </row>
    <row r="569" spans="2:20">
      <c r="B569" t="s">
        <v>274</v>
      </c>
      <c r="C569">
        <v>2025</v>
      </c>
      <c r="D569" s="2" t="s">
        <v>2569</v>
      </c>
      <c r="E569" s="12" t="s">
        <v>2573</v>
      </c>
      <c r="F569" s="12" t="s">
        <v>2574</v>
      </c>
      <c r="G569" s="12" t="s">
        <v>2575</v>
      </c>
      <c r="H569" t="s">
        <v>1364</v>
      </c>
      <c r="I569" t="s">
        <v>48</v>
      </c>
      <c r="J569" t="s">
        <v>968</v>
      </c>
      <c r="T569" s="17">
        <v>5800000</v>
      </c>
    </row>
    <row r="570" spans="2:20">
      <c r="B570" t="s">
        <v>274</v>
      </c>
      <c r="C570">
        <v>2025</v>
      </c>
      <c r="D570" s="2" t="s">
        <v>2576</v>
      </c>
      <c r="E570" s="12" t="s">
        <v>2577</v>
      </c>
      <c r="F570" s="12" t="s">
        <v>598</v>
      </c>
      <c r="G570" s="12" t="s">
        <v>2578</v>
      </c>
      <c r="H570" t="s">
        <v>1364</v>
      </c>
      <c r="I570" t="s">
        <v>973</v>
      </c>
      <c r="J570" t="s">
        <v>968</v>
      </c>
      <c r="T570" s="17"/>
    </row>
    <row r="571" spans="2:20">
      <c r="B571" t="s">
        <v>274</v>
      </c>
      <c r="C571">
        <v>2025</v>
      </c>
      <c r="D571" s="2" t="s">
        <v>2576</v>
      </c>
      <c r="E571" s="12" t="s">
        <v>2577</v>
      </c>
      <c r="F571" s="12" t="s">
        <v>598</v>
      </c>
      <c r="G571" s="12" t="s">
        <v>2578</v>
      </c>
      <c r="H571" t="s">
        <v>1364</v>
      </c>
      <c r="I571" t="s">
        <v>973</v>
      </c>
      <c r="J571" t="s">
        <v>968</v>
      </c>
      <c r="T571" s="17"/>
    </row>
    <row r="572" spans="2:20" ht="27.75">
      <c r="B572" t="s">
        <v>274</v>
      </c>
      <c r="C572">
        <v>2025</v>
      </c>
      <c r="D572" s="2" t="s">
        <v>2576</v>
      </c>
      <c r="E572" s="80" t="s">
        <v>2579</v>
      </c>
      <c r="F572" s="49" t="s">
        <v>2580</v>
      </c>
      <c r="G572" s="12" t="s">
        <v>2581</v>
      </c>
      <c r="H572" t="s">
        <v>967</v>
      </c>
      <c r="I572" t="s">
        <v>48</v>
      </c>
      <c r="J572" t="s">
        <v>968</v>
      </c>
      <c r="T572" s="17">
        <v>2500000</v>
      </c>
    </row>
    <row r="573" spans="2:20">
      <c r="B573" t="s">
        <v>274</v>
      </c>
      <c r="C573">
        <v>2025</v>
      </c>
      <c r="D573" s="2" t="s">
        <v>2582</v>
      </c>
      <c r="E573" t="s">
        <v>2583</v>
      </c>
      <c r="F573" s="12" t="s">
        <v>604</v>
      </c>
      <c r="G573" s="12" t="s">
        <v>2584</v>
      </c>
      <c r="H573" t="s">
        <v>967</v>
      </c>
      <c r="I573" t="s">
        <v>48</v>
      </c>
      <c r="J573" t="s">
        <v>968</v>
      </c>
      <c r="T573" s="17">
        <v>50000</v>
      </c>
    </row>
    <row r="574" spans="2:20" ht="26.25" customHeight="1">
      <c r="B574" t="s">
        <v>274</v>
      </c>
      <c r="C574">
        <v>2025</v>
      </c>
      <c r="D574" s="2" t="s">
        <v>2585</v>
      </c>
      <c r="E574" s="12" t="s">
        <v>2586</v>
      </c>
      <c r="F574" s="12" t="s">
        <v>609</v>
      </c>
      <c r="G574" s="12" t="s">
        <v>2587</v>
      </c>
      <c r="H574" t="s">
        <v>1633</v>
      </c>
      <c r="I574" t="s">
        <v>973</v>
      </c>
      <c r="J574" t="s">
        <v>1119</v>
      </c>
      <c r="T574" s="100">
        <v>669000</v>
      </c>
    </row>
    <row r="575" spans="2:20">
      <c r="B575" t="s">
        <v>274</v>
      </c>
      <c r="C575">
        <v>2025</v>
      </c>
      <c r="D575" s="2" t="s">
        <v>2585</v>
      </c>
      <c r="E575" s="12" t="s">
        <v>2588</v>
      </c>
      <c r="F575" s="12" t="s">
        <v>2589</v>
      </c>
      <c r="G575" s="12" t="s">
        <v>2590</v>
      </c>
      <c r="H575" t="s">
        <v>1180</v>
      </c>
      <c r="I575" t="s">
        <v>48</v>
      </c>
      <c r="J575" t="s">
        <v>968</v>
      </c>
      <c r="T575" s="17"/>
    </row>
    <row r="576" spans="2:20" ht="17.25" customHeight="1">
      <c r="B576" t="s">
        <v>274</v>
      </c>
      <c r="C576">
        <v>2025</v>
      </c>
      <c r="D576" s="2" t="s">
        <v>2591</v>
      </c>
      <c r="E576" s="124" t="s">
        <v>2592</v>
      </c>
      <c r="F576" s="12" t="s">
        <v>612</v>
      </c>
      <c r="G576" s="12" t="s">
        <v>2593</v>
      </c>
      <c r="H576" t="s">
        <v>1633</v>
      </c>
      <c r="I576" t="s">
        <v>973</v>
      </c>
      <c r="J576" t="s">
        <v>1119</v>
      </c>
      <c r="T576" s="100">
        <v>1024000</v>
      </c>
    </row>
    <row r="577" spans="2:20">
      <c r="B577" t="s">
        <v>303</v>
      </c>
      <c r="C577">
        <v>2025</v>
      </c>
      <c r="D577" s="2">
        <v>45665</v>
      </c>
      <c r="E577" s="12" t="s">
        <v>2594</v>
      </c>
      <c r="F577" s="123" t="s">
        <v>2595</v>
      </c>
      <c r="G577" s="12" t="s">
        <v>2596</v>
      </c>
      <c r="H577" t="s">
        <v>1180</v>
      </c>
      <c r="I577" t="s">
        <v>973</v>
      </c>
      <c r="J577" t="s">
        <v>968</v>
      </c>
      <c r="N577" s="125">
        <v>1761505393</v>
      </c>
      <c r="T577" s="126">
        <v>9112000</v>
      </c>
    </row>
    <row r="578" spans="2:20">
      <c r="B578" t="s">
        <v>303</v>
      </c>
      <c r="C578">
        <v>2025</v>
      </c>
      <c r="D578" s="2">
        <v>45816</v>
      </c>
      <c r="E578" s="12" t="s">
        <v>2597</v>
      </c>
      <c r="F578" s="63" t="s">
        <v>646</v>
      </c>
      <c r="G578" s="12" t="s">
        <v>2598</v>
      </c>
      <c r="H578" t="s">
        <v>967</v>
      </c>
      <c r="I578" t="s">
        <v>48</v>
      </c>
      <c r="J578" t="s">
        <v>968</v>
      </c>
      <c r="K578" s="63" t="s">
        <v>2599</v>
      </c>
      <c r="T578" s="126">
        <v>580000</v>
      </c>
    </row>
    <row r="579" spans="2:20">
      <c r="B579" t="s">
        <v>303</v>
      </c>
      <c r="C579">
        <v>2025</v>
      </c>
      <c r="D579" s="2">
        <v>45816</v>
      </c>
      <c r="E579" t="s">
        <v>2600</v>
      </c>
      <c r="F579" s="12" t="s">
        <v>650</v>
      </c>
      <c r="G579" s="55" t="s">
        <v>2601</v>
      </c>
      <c r="H579" t="s">
        <v>1633</v>
      </c>
      <c r="I579" t="s">
        <v>973</v>
      </c>
      <c r="T579" s="100" t="s">
        <v>2602</v>
      </c>
    </row>
    <row r="580" spans="2:20">
      <c r="B580" t="s">
        <v>303</v>
      </c>
      <c r="C580">
        <v>2025</v>
      </c>
      <c r="D580" s="2">
        <v>45816</v>
      </c>
      <c r="E580" t="s">
        <v>2603</v>
      </c>
      <c r="F580" s="12" t="s">
        <v>2604</v>
      </c>
      <c r="G580" s="12" t="s">
        <v>2605</v>
      </c>
      <c r="H580" t="s">
        <v>967</v>
      </c>
      <c r="I580" t="s">
        <v>1302</v>
      </c>
      <c r="J580" t="s">
        <v>968</v>
      </c>
      <c r="T580" s="17"/>
    </row>
    <row r="581" spans="2:20">
      <c r="B581" t="s">
        <v>303</v>
      </c>
      <c r="C581">
        <v>2025</v>
      </c>
      <c r="D581" s="2">
        <v>45846</v>
      </c>
      <c r="E581" s="12" t="s">
        <v>2606</v>
      </c>
      <c r="F581" s="12" t="s">
        <v>2607</v>
      </c>
      <c r="G581" s="12" t="s">
        <v>2608</v>
      </c>
      <c r="H581" t="s">
        <v>1633</v>
      </c>
      <c r="I581" t="s">
        <v>973</v>
      </c>
      <c r="J581" t="s">
        <v>968</v>
      </c>
      <c r="T581" s="17"/>
    </row>
    <row r="582" spans="2:20">
      <c r="B582" t="s">
        <v>303</v>
      </c>
      <c r="C582">
        <v>2025</v>
      </c>
      <c r="D582" s="2">
        <v>45877</v>
      </c>
      <c r="E582" s="12" t="s">
        <v>2609</v>
      </c>
      <c r="F582" s="102" t="s">
        <v>654</v>
      </c>
      <c r="G582" s="12" t="s">
        <v>2610</v>
      </c>
      <c r="H582" t="s">
        <v>985</v>
      </c>
      <c r="I582" t="s">
        <v>48</v>
      </c>
      <c r="J582" t="s">
        <v>968</v>
      </c>
      <c r="T582" s="17"/>
    </row>
    <row r="583" spans="2:20">
      <c r="B583" t="s">
        <v>303</v>
      </c>
      <c r="C583">
        <v>2025</v>
      </c>
      <c r="D583" s="2">
        <v>45877</v>
      </c>
      <c r="E583" t="s">
        <v>2611</v>
      </c>
      <c r="F583" s="12" t="s">
        <v>2612</v>
      </c>
      <c r="G583" s="12" t="s">
        <v>2613</v>
      </c>
      <c r="H583" t="s">
        <v>1180</v>
      </c>
      <c r="I583" t="s">
        <v>48</v>
      </c>
      <c r="J583" t="s">
        <v>968</v>
      </c>
      <c r="T583" s="17">
        <v>2500000</v>
      </c>
    </row>
    <row r="584" spans="2:20">
      <c r="B584" t="s">
        <v>303</v>
      </c>
      <c r="C584">
        <v>2025</v>
      </c>
      <c r="D584" s="2">
        <v>45999</v>
      </c>
      <c r="E584" s="12" t="s">
        <v>2614</v>
      </c>
      <c r="F584" s="12" t="s">
        <v>2615</v>
      </c>
      <c r="G584" s="12" t="s">
        <v>2616</v>
      </c>
      <c r="H584" t="s">
        <v>1180</v>
      </c>
      <c r="I584" t="s">
        <v>973</v>
      </c>
      <c r="J584" t="s">
        <v>1119</v>
      </c>
      <c r="T584" s="17"/>
    </row>
    <row r="585" spans="2:20">
      <c r="B585" t="s">
        <v>303</v>
      </c>
      <c r="C585">
        <v>2025</v>
      </c>
      <c r="D585" s="2">
        <v>45999</v>
      </c>
      <c r="E585" s="12" t="s">
        <v>2617</v>
      </c>
      <c r="F585" s="12" t="s">
        <v>2615</v>
      </c>
      <c r="G585" s="12" t="s">
        <v>2616</v>
      </c>
      <c r="H585" t="s">
        <v>1180</v>
      </c>
      <c r="I585" t="s">
        <v>1302</v>
      </c>
      <c r="J585" t="s">
        <v>1119</v>
      </c>
      <c r="T585" s="17"/>
    </row>
    <row r="586" spans="2:20">
      <c r="B586" t="s">
        <v>303</v>
      </c>
      <c r="C586">
        <v>2025</v>
      </c>
      <c r="D586" s="2" t="s">
        <v>2618</v>
      </c>
      <c r="E586" s="12" t="s">
        <v>2619</v>
      </c>
      <c r="F586" s="12" t="s">
        <v>2620</v>
      </c>
      <c r="G586" s="12" t="s">
        <v>2621</v>
      </c>
      <c r="H586" t="s">
        <v>1180</v>
      </c>
      <c r="I586" t="s">
        <v>48</v>
      </c>
      <c r="J586" t="s">
        <v>968</v>
      </c>
      <c r="N586" s="25">
        <v>888344245078</v>
      </c>
      <c r="T586" s="17">
        <v>2500000</v>
      </c>
    </row>
    <row r="587" spans="2:20">
      <c r="B587" t="s">
        <v>303</v>
      </c>
      <c r="C587">
        <v>2025</v>
      </c>
      <c r="D587" s="2" t="s">
        <v>2618</v>
      </c>
      <c r="E587" s="12" t="s">
        <v>2622</v>
      </c>
      <c r="F587" s="12" t="s">
        <v>2623</v>
      </c>
      <c r="G587" s="12" t="s">
        <v>2624</v>
      </c>
      <c r="H587" t="s">
        <v>1180</v>
      </c>
      <c r="I587" t="s">
        <v>973</v>
      </c>
      <c r="J587" t="s">
        <v>968</v>
      </c>
      <c r="N587" s="25">
        <v>1738924152</v>
      </c>
      <c r="T587" s="17"/>
    </row>
    <row r="588" spans="2:20" ht="27.75">
      <c r="B588" t="s">
        <v>303</v>
      </c>
      <c r="C588">
        <v>2025</v>
      </c>
      <c r="D588" s="2" t="s">
        <v>2618</v>
      </c>
      <c r="E588" s="55" t="s">
        <v>2625</v>
      </c>
      <c r="F588" s="12" t="s">
        <v>2626</v>
      </c>
      <c r="G588" s="12" t="s">
        <v>2623</v>
      </c>
      <c r="H588" t="s">
        <v>1180</v>
      </c>
      <c r="I588" t="s">
        <v>48</v>
      </c>
      <c r="J588" t="s">
        <v>968</v>
      </c>
      <c r="N588" s="25" t="s">
        <v>2627</v>
      </c>
      <c r="T588" s="17"/>
    </row>
    <row r="589" spans="2:20">
      <c r="B589" t="s">
        <v>303</v>
      </c>
      <c r="C589">
        <v>2025</v>
      </c>
      <c r="D589" s="2" t="s">
        <v>2628</v>
      </c>
      <c r="E589" s="12" t="s">
        <v>2629</v>
      </c>
      <c r="F589" s="51" t="s">
        <v>655</v>
      </c>
      <c r="G589" s="12" t="s">
        <v>2630</v>
      </c>
      <c r="H589" t="s">
        <v>967</v>
      </c>
      <c r="I589" t="s">
        <v>48</v>
      </c>
      <c r="J589" t="s">
        <v>968</v>
      </c>
      <c r="T589" s="17">
        <v>580000</v>
      </c>
    </row>
    <row r="590" spans="2:20">
      <c r="B590" t="s">
        <v>303</v>
      </c>
      <c r="C590">
        <v>2025</v>
      </c>
      <c r="D590" s="2" t="s">
        <v>2628</v>
      </c>
      <c r="E590" s="12" t="s">
        <v>2631</v>
      </c>
      <c r="F590" s="51" t="s">
        <v>655</v>
      </c>
      <c r="G590" s="12" t="s">
        <v>2630</v>
      </c>
      <c r="H590" t="s">
        <v>1633</v>
      </c>
      <c r="I590" t="s">
        <v>973</v>
      </c>
      <c r="J590" t="s">
        <v>968</v>
      </c>
      <c r="T590" s="50">
        <v>1620000</v>
      </c>
    </row>
    <row r="591" spans="2:20">
      <c r="B591" t="s">
        <v>303</v>
      </c>
      <c r="C591">
        <v>2025</v>
      </c>
      <c r="D591" s="2" t="s">
        <v>2632</v>
      </c>
      <c r="E591" s="12" t="s">
        <v>2633</v>
      </c>
      <c r="F591" s="12" t="s">
        <v>2634</v>
      </c>
      <c r="G591" s="12" t="s">
        <v>2635</v>
      </c>
      <c r="H591" t="s">
        <v>1135</v>
      </c>
      <c r="I591" t="s">
        <v>973</v>
      </c>
      <c r="J591" t="s">
        <v>1119</v>
      </c>
      <c r="T591" s="17"/>
    </row>
    <row r="592" spans="2:20">
      <c r="B592" t="s">
        <v>303</v>
      </c>
      <c r="C592">
        <v>2025</v>
      </c>
      <c r="D592" s="2" t="s">
        <v>2636</v>
      </c>
      <c r="E592" s="12" t="s">
        <v>2637</v>
      </c>
      <c r="F592" s="51" t="s">
        <v>660</v>
      </c>
      <c r="G592" s="12" t="s">
        <v>2638</v>
      </c>
      <c r="H592" t="s">
        <v>1633</v>
      </c>
      <c r="I592" t="s">
        <v>973</v>
      </c>
      <c r="J592" t="s">
        <v>1119</v>
      </c>
      <c r="T592" s="59">
        <v>439000</v>
      </c>
    </row>
    <row r="593" spans="2:23">
      <c r="B593" t="s">
        <v>303</v>
      </c>
      <c r="C593">
        <v>2025</v>
      </c>
      <c r="D593" s="2" t="s">
        <v>2636</v>
      </c>
      <c r="E593" s="12" t="s">
        <v>2639</v>
      </c>
      <c r="F593" s="12" t="s">
        <v>663</v>
      </c>
      <c r="G593" s="12" t="s">
        <v>2640</v>
      </c>
      <c r="H593" t="s">
        <v>967</v>
      </c>
      <c r="I593" t="s">
        <v>48</v>
      </c>
      <c r="J593" t="s">
        <v>968</v>
      </c>
      <c r="M593" t="s">
        <v>2641</v>
      </c>
      <c r="N593" s="64">
        <v>8882509221049920</v>
      </c>
      <c r="R593" t="s">
        <v>970</v>
      </c>
      <c r="T593" s="17">
        <v>580000</v>
      </c>
      <c r="W593" s="46" t="s">
        <v>971</v>
      </c>
    </row>
    <row r="594" spans="2:23">
      <c r="B594" t="s">
        <v>303</v>
      </c>
      <c r="C594">
        <v>2025</v>
      </c>
      <c r="D594" s="2" t="s">
        <v>2636</v>
      </c>
      <c r="E594" s="55" t="s">
        <v>2642</v>
      </c>
      <c r="F594" s="49" t="s">
        <v>660</v>
      </c>
      <c r="G594" s="12" t="s">
        <v>2643</v>
      </c>
      <c r="H594" t="s">
        <v>967</v>
      </c>
      <c r="I594" t="s">
        <v>48</v>
      </c>
      <c r="J594" t="s">
        <v>968</v>
      </c>
      <c r="T594" s="127" t="s">
        <v>2644</v>
      </c>
    </row>
    <row r="595" spans="2:23">
      <c r="B595" t="s">
        <v>303</v>
      </c>
      <c r="C595">
        <v>2025</v>
      </c>
      <c r="D595" s="2" t="s">
        <v>2636</v>
      </c>
      <c r="E595" s="55" t="s">
        <v>2645</v>
      </c>
      <c r="F595" s="49" t="s">
        <v>660</v>
      </c>
      <c r="G595" s="12" t="s">
        <v>2643</v>
      </c>
      <c r="H595" t="s">
        <v>967</v>
      </c>
      <c r="I595" t="s">
        <v>48</v>
      </c>
      <c r="J595" t="s">
        <v>968</v>
      </c>
      <c r="T595" s="17">
        <v>580000</v>
      </c>
    </row>
    <row r="596" spans="2:23">
      <c r="D596" s="2"/>
      <c r="E596" s="55"/>
      <c r="F596" s="49"/>
      <c r="G596" s="12"/>
      <c r="T596" s="17"/>
    </row>
    <row r="597" spans="2:23">
      <c r="B597" t="s">
        <v>303</v>
      </c>
      <c r="C597">
        <v>2025</v>
      </c>
      <c r="D597" s="2" t="s">
        <v>2646</v>
      </c>
      <c r="E597" s="12" t="s">
        <v>2647</v>
      </c>
      <c r="F597" s="12" t="s">
        <v>666</v>
      </c>
      <c r="G597" s="12" t="s">
        <v>2648</v>
      </c>
      <c r="H597" t="s">
        <v>1633</v>
      </c>
      <c r="I597" t="s">
        <v>973</v>
      </c>
      <c r="T597" s="17"/>
    </row>
    <row r="598" spans="2:23">
      <c r="B598" t="s">
        <v>303</v>
      </c>
      <c r="C598">
        <v>2025</v>
      </c>
      <c r="D598" s="2" t="s">
        <v>2646</v>
      </c>
      <c r="E598" s="12" t="s">
        <v>2649</v>
      </c>
      <c r="F598" s="12" t="s">
        <v>670</v>
      </c>
      <c r="G598" s="12" t="s">
        <v>2650</v>
      </c>
      <c r="H598" t="s">
        <v>1633</v>
      </c>
      <c r="I598" t="s">
        <v>973</v>
      </c>
      <c r="T598" s="17"/>
    </row>
    <row r="599" spans="2:23" ht="17.25">
      <c r="B599" t="s">
        <v>303</v>
      </c>
      <c r="C599">
        <v>2025</v>
      </c>
      <c r="D599" s="2" t="s">
        <v>2651</v>
      </c>
      <c r="E599" s="12" t="s">
        <v>2652</v>
      </c>
      <c r="F599" s="12" t="s">
        <v>674</v>
      </c>
      <c r="G599" s="12" t="s">
        <v>2653</v>
      </c>
      <c r="I599" t="s">
        <v>973</v>
      </c>
      <c r="J599" t="s">
        <v>1119</v>
      </c>
      <c r="N599" s="128">
        <v>1707384952</v>
      </c>
      <c r="O599" s="45">
        <v>1707244132</v>
      </c>
      <c r="T599" s="17"/>
    </row>
    <row r="600" spans="2:23" ht="33.75">
      <c r="B600" t="s">
        <v>303</v>
      </c>
      <c r="C600">
        <v>2025</v>
      </c>
      <c r="D600" s="2" t="s">
        <v>2651</v>
      </c>
      <c r="E600" s="12" t="s">
        <v>2654</v>
      </c>
      <c r="F600" s="12" t="s">
        <v>674</v>
      </c>
      <c r="G600" s="12" t="s">
        <v>2653</v>
      </c>
      <c r="I600" t="s">
        <v>973</v>
      </c>
      <c r="J600" t="s">
        <v>1119</v>
      </c>
      <c r="N600" s="129" t="s">
        <v>2655</v>
      </c>
      <c r="T600" s="17"/>
    </row>
    <row r="601" spans="2:23">
      <c r="B601" t="s">
        <v>303</v>
      </c>
      <c r="C601">
        <v>2025</v>
      </c>
      <c r="D601" s="2" t="s">
        <v>2651</v>
      </c>
      <c r="E601" s="12" t="s">
        <v>2656</v>
      </c>
      <c r="F601" s="12" t="s">
        <v>676</v>
      </c>
      <c r="G601" s="12" t="s">
        <v>2657</v>
      </c>
      <c r="I601" t="s">
        <v>973</v>
      </c>
      <c r="J601" t="s">
        <v>968</v>
      </c>
      <c r="T601" s="96">
        <v>1937000</v>
      </c>
    </row>
    <row r="602" spans="2:23">
      <c r="B602" t="s">
        <v>303</v>
      </c>
      <c r="C602">
        <v>2025</v>
      </c>
      <c r="D602" s="2" t="s">
        <v>2658</v>
      </c>
      <c r="E602" s="12" t="s">
        <v>2659</v>
      </c>
      <c r="F602" s="12" t="s">
        <v>2418</v>
      </c>
      <c r="G602" s="12" t="s">
        <v>2660</v>
      </c>
      <c r="H602" t="s">
        <v>1633</v>
      </c>
      <c r="I602" t="s">
        <v>973</v>
      </c>
    </row>
    <row r="603" spans="2:23">
      <c r="B603" t="s">
        <v>303</v>
      </c>
      <c r="C603">
        <v>2025</v>
      </c>
      <c r="D603" s="2" t="s">
        <v>2661</v>
      </c>
      <c r="E603" s="12" t="s">
        <v>2662</v>
      </c>
      <c r="F603" t="s">
        <v>2663</v>
      </c>
      <c r="G603" s="12" t="s">
        <v>2664</v>
      </c>
      <c r="H603" t="s">
        <v>967</v>
      </c>
      <c r="I603" t="s">
        <v>48</v>
      </c>
      <c r="J603" t="s">
        <v>968</v>
      </c>
      <c r="T603" s="17">
        <v>580000</v>
      </c>
    </row>
    <row r="604" spans="2:23">
      <c r="B604" t="s">
        <v>338</v>
      </c>
      <c r="C604">
        <v>2025</v>
      </c>
      <c r="D604" s="2">
        <v>45697</v>
      </c>
      <c r="E604" s="12" t="s">
        <v>2665</v>
      </c>
      <c r="F604" s="25" t="s">
        <v>2666</v>
      </c>
      <c r="G604" s="12" t="s">
        <v>2667</v>
      </c>
      <c r="H604" t="s">
        <v>1633</v>
      </c>
      <c r="I604" t="s">
        <v>973</v>
      </c>
      <c r="T604" s="17"/>
    </row>
    <row r="605" spans="2:23">
      <c r="B605" t="s">
        <v>338</v>
      </c>
      <c r="C605">
        <v>2025</v>
      </c>
      <c r="D605" s="2">
        <v>45697</v>
      </c>
      <c r="E605" s="12" t="s">
        <v>2668</v>
      </c>
      <c r="F605" s="25" t="s">
        <v>2666</v>
      </c>
      <c r="G605" s="12" t="s">
        <v>2667</v>
      </c>
      <c r="H605" t="s">
        <v>1633</v>
      </c>
      <c r="I605" t="s">
        <v>973</v>
      </c>
      <c r="J605" t="s">
        <v>968</v>
      </c>
      <c r="T605" s="17"/>
    </row>
    <row r="606" spans="2:23">
      <c r="B606" t="s">
        <v>338</v>
      </c>
      <c r="C606">
        <v>2025</v>
      </c>
      <c r="D606" s="2">
        <v>45697</v>
      </c>
      <c r="E606" s="12" t="s">
        <v>2669</v>
      </c>
      <c r="F606" s="25" t="s">
        <v>2666</v>
      </c>
      <c r="G606" s="12" t="s">
        <v>2667</v>
      </c>
      <c r="H606" t="s">
        <v>1633</v>
      </c>
      <c r="I606" t="s">
        <v>973</v>
      </c>
      <c r="J606" t="s">
        <v>968</v>
      </c>
      <c r="M606" t="s">
        <v>2670</v>
      </c>
      <c r="N606" s="64">
        <v>2090324404</v>
      </c>
      <c r="R606" t="s">
        <v>970</v>
      </c>
      <c r="T606" s="17"/>
      <c r="W606" s="46" t="s">
        <v>971</v>
      </c>
    </row>
    <row r="607" spans="2:23">
      <c r="B607" t="s">
        <v>338</v>
      </c>
      <c r="C607">
        <v>2025</v>
      </c>
      <c r="D607" s="2">
        <v>45756</v>
      </c>
      <c r="E607" s="12" t="s">
        <v>2671</v>
      </c>
      <c r="F607" s="12"/>
      <c r="G607" s="12" t="s">
        <v>2672</v>
      </c>
      <c r="H607" t="s">
        <v>1364</v>
      </c>
      <c r="I607" t="s">
        <v>973</v>
      </c>
      <c r="J607" t="s">
        <v>968</v>
      </c>
      <c r="T607" s="17"/>
    </row>
    <row r="608" spans="2:23">
      <c r="B608" t="s">
        <v>338</v>
      </c>
      <c r="C608">
        <v>2025</v>
      </c>
      <c r="D608" s="2">
        <v>45756</v>
      </c>
      <c r="E608" s="12" t="s">
        <v>2673</v>
      </c>
      <c r="F608" s="130" t="s">
        <v>511</v>
      </c>
      <c r="G608" s="12" t="s">
        <v>2674</v>
      </c>
      <c r="H608" t="s">
        <v>1633</v>
      </c>
      <c r="I608" t="s">
        <v>973</v>
      </c>
      <c r="J608" t="s">
        <v>968</v>
      </c>
      <c r="M608" t="s">
        <v>2675</v>
      </c>
      <c r="N608" s="64">
        <v>2090418019</v>
      </c>
      <c r="R608" t="s">
        <v>970</v>
      </c>
      <c r="T608" s="131">
        <v>1489000</v>
      </c>
      <c r="W608" s="46" t="s">
        <v>971</v>
      </c>
    </row>
    <row r="609" spans="2:23">
      <c r="B609" t="s">
        <v>338</v>
      </c>
      <c r="C609">
        <v>2025</v>
      </c>
      <c r="D609" s="2">
        <v>45909</v>
      </c>
      <c r="E609" s="12" t="s">
        <v>2676</v>
      </c>
      <c r="F609" s="49" t="s">
        <v>679</v>
      </c>
      <c r="G609" s="12" t="s">
        <v>2677</v>
      </c>
      <c r="H609" t="s">
        <v>967</v>
      </c>
      <c r="I609" t="s">
        <v>48</v>
      </c>
      <c r="J609" t="s">
        <v>968</v>
      </c>
      <c r="T609" s="17">
        <v>2500000</v>
      </c>
    </row>
    <row r="610" spans="2:23">
      <c r="B610" t="s">
        <v>338</v>
      </c>
      <c r="C610">
        <v>2025</v>
      </c>
      <c r="D610" s="2">
        <v>45939</v>
      </c>
      <c r="E610" t="s">
        <v>2678</v>
      </c>
      <c r="F610" s="25" t="s">
        <v>682</v>
      </c>
      <c r="G610" s="12" t="s">
        <v>2679</v>
      </c>
      <c r="H610" t="s">
        <v>1135</v>
      </c>
      <c r="I610" t="s">
        <v>973</v>
      </c>
      <c r="J610" t="s">
        <v>968</v>
      </c>
      <c r="T610" s="17"/>
    </row>
    <row r="611" spans="2:23">
      <c r="B611" t="s">
        <v>338</v>
      </c>
      <c r="C611">
        <v>2025</v>
      </c>
      <c r="D611" s="2">
        <v>45939</v>
      </c>
      <c r="E611" s="12" t="s">
        <v>2680</v>
      </c>
      <c r="F611" s="101" t="s">
        <v>2681</v>
      </c>
      <c r="G611" s="12" t="s">
        <v>2682</v>
      </c>
      <c r="I611" t="s">
        <v>973</v>
      </c>
      <c r="T611" s="17"/>
    </row>
    <row r="612" spans="2:23">
      <c r="B612" t="s">
        <v>338</v>
      </c>
      <c r="C612">
        <v>2025</v>
      </c>
      <c r="D612" s="2">
        <v>45939</v>
      </c>
      <c r="E612" t="s">
        <v>2683</v>
      </c>
      <c r="F612" s="12" t="s">
        <v>2684</v>
      </c>
      <c r="G612" s="12" t="s">
        <v>2685</v>
      </c>
      <c r="H612" t="s">
        <v>967</v>
      </c>
      <c r="I612" t="s">
        <v>48</v>
      </c>
      <c r="J612" t="s">
        <v>968</v>
      </c>
      <c r="T612" s="17">
        <v>2500000</v>
      </c>
    </row>
    <row r="613" spans="2:23">
      <c r="B613" t="s">
        <v>338</v>
      </c>
      <c r="C613">
        <v>2025</v>
      </c>
      <c r="D613" s="2">
        <v>45939</v>
      </c>
      <c r="E613" t="s">
        <v>2686</v>
      </c>
      <c r="F613" s="12" t="s">
        <v>2684</v>
      </c>
      <c r="G613" s="12" t="s">
        <v>2685</v>
      </c>
      <c r="H613" t="s">
        <v>967</v>
      </c>
      <c r="I613" t="s">
        <v>48</v>
      </c>
      <c r="J613" t="s">
        <v>968</v>
      </c>
      <c r="T613" s="17">
        <v>580000</v>
      </c>
    </row>
    <row r="614" spans="2:23">
      <c r="B614" t="s">
        <v>338</v>
      </c>
      <c r="C614">
        <v>2025</v>
      </c>
      <c r="D614" s="2">
        <v>45970</v>
      </c>
      <c r="E614" s="12" t="s">
        <v>2687</v>
      </c>
      <c r="F614" s="77" t="s">
        <v>687</v>
      </c>
      <c r="G614" s="12" t="s">
        <v>2688</v>
      </c>
      <c r="H614" t="s">
        <v>1633</v>
      </c>
      <c r="I614" t="s">
        <v>973</v>
      </c>
      <c r="J614" t="s">
        <v>968</v>
      </c>
      <c r="M614" t="s">
        <v>2689</v>
      </c>
      <c r="N614" s="64">
        <v>2090980444</v>
      </c>
      <c r="T614" s="17"/>
      <c r="W614" s="46" t="s">
        <v>971</v>
      </c>
    </row>
    <row r="615" spans="2:23">
      <c r="B615" t="s">
        <v>338</v>
      </c>
      <c r="C615">
        <v>2025</v>
      </c>
      <c r="D615" s="2">
        <v>45970</v>
      </c>
      <c r="E615" s="12" t="s">
        <v>2690</v>
      </c>
      <c r="F615" s="77" t="s">
        <v>687</v>
      </c>
      <c r="G615" s="12" t="s">
        <v>2688</v>
      </c>
      <c r="H615" t="s">
        <v>1633</v>
      </c>
      <c r="I615" t="s">
        <v>973</v>
      </c>
      <c r="T615" s="17">
        <v>2500000</v>
      </c>
    </row>
    <row r="616" spans="2:23">
      <c r="B616" t="s">
        <v>338</v>
      </c>
      <c r="C616">
        <v>2025</v>
      </c>
      <c r="D616" s="2">
        <v>46000</v>
      </c>
      <c r="E616" s="12" t="s">
        <v>2691</v>
      </c>
      <c r="F616" s="12" t="s">
        <v>691</v>
      </c>
      <c r="G616" s="12" t="s">
        <v>2692</v>
      </c>
      <c r="H616" t="s">
        <v>1633</v>
      </c>
      <c r="I616" t="s">
        <v>48</v>
      </c>
      <c r="J616" t="s">
        <v>968</v>
      </c>
      <c r="T616" s="17"/>
    </row>
    <row r="617" spans="2:23">
      <c r="B617" t="s">
        <v>338</v>
      </c>
      <c r="C617">
        <v>2025</v>
      </c>
      <c r="D617" s="2">
        <v>46000</v>
      </c>
      <c r="E617" s="12" t="s">
        <v>2693</v>
      </c>
      <c r="F617" s="49" t="s">
        <v>695</v>
      </c>
      <c r="G617" s="12" t="s">
        <v>2694</v>
      </c>
      <c r="H617" t="s">
        <v>1633</v>
      </c>
      <c r="I617" t="s">
        <v>973</v>
      </c>
      <c r="J617" t="s">
        <v>968</v>
      </c>
      <c r="T617" s="97">
        <v>3232000</v>
      </c>
    </row>
    <row r="618" spans="2:23">
      <c r="B618" t="s">
        <v>338</v>
      </c>
      <c r="C618">
        <v>2025</v>
      </c>
      <c r="D618" s="2">
        <v>46000</v>
      </c>
      <c r="E618" t="s">
        <v>2695</v>
      </c>
      <c r="F618" s="12" t="s">
        <v>699</v>
      </c>
      <c r="G618" s="12" t="s">
        <v>2696</v>
      </c>
      <c r="H618" t="s">
        <v>967</v>
      </c>
      <c r="I618" t="s">
        <v>48</v>
      </c>
      <c r="J618" t="s">
        <v>968</v>
      </c>
      <c r="T618" s="92">
        <v>2500000</v>
      </c>
    </row>
    <row r="619" spans="2:23">
      <c r="B619" t="s">
        <v>338</v>
      </c>
      <c r="C619">
        <v>2025</v>
      </c>
      <c r="D619" s="2">
        <v>46000</v>
      </c>
      <c r="E619" t="s">
        <v>2697</v>
      </c>
      <c r="F619" s="12" t="s">
        <v>699</v>
      </c>
      <c r="G619" s="12" t="s">
        <v>2696</v>
      </c>
      <c r="H619" t="s">
        <v>1633</v>
      </c>
      <c r="I619" t="s">
        <v>973</v>
      </c>
      <c r="J619" t="s">
        <v>968</v>
      </c>
      <c r="T619" s="17">
        <v>1895400</v>
      </c>
    </row>
    <row r="620" spans="2:23">
      <c r="B620" t="s">
        <v>338</v>
      </c>
      <c r="C620">
        <v>2025</v>
      </c>
      <c r="D620" s="2" t="s">
        <v>2698</v>
      </c>
      <c r="E620" s="12" t="s">
        <v>2699</v>
      </c>
      <c r="F620" s="12" t="s">
        <v>2700</v>
      </c>
      <c r="G620" s="12" t="s">
        <v>2701</v>
      </c>
      <c r="H620" t="s">
        <v>1180</v>
      </c>
      <c r="I620" t="s">
        <v>48</v>
      </c>
      <c r="J620" t="s">
        <v>968</v>
      </c>
      <c r="T620" s="92">
        <v>2500000</v>
      </c>
    </row>
    <row r="621" spans="2:23">
      <c r="B621" t="s">
        <v>338</v>
      </c>
      <c r="C621">
        <v>2025</v>
      </c>
      <c r="D621" s="2" t="s">
        <v>2698</v>
      </c>
      <c r="E621" s="12" t="s">
        <v>2702</v>
      </c>
      <c r="F621" s="12" t="s">
        <v>2703</v>
      </c>
      <c r="G621" s="12" t="s">
        <v>2704</v>
      </c>
      <c r="H621" t="s">
        <v>1180</v>
      </c>
      <c r="I621" t="s">
        <v>48</v>
      </c>
      <c r="J621" t="s">
        <v>968</v>
      </c>
      <c r="T621" s="92">
        <v>2500000</v>
      </c>
    </row>
    <row r="622" spans="2:23">
      <c r="B622" t="s">
        <v>338</v>
      </c>
      <c r="C622">
        <v>2025</v>
      </c>
      <c r="D622" s="2" t="s">
        <v>2698</v>
      </c>
      <c r="E622" s="12" t="s">
        <v>2705</v>
      </c>
      <c r="F622" s="12" t="s">
        <v>2706</v>
      </c>
      <c r="G622" s="12" t="s">
        <v>2707</v>
      </c>
      <c r="H622" t="s">
        <v>1180</v>
      </c>
      <c r="I622" t="s">
        <v>973</v>
      </c>
      <c r="J622" t="s">
        <v>1119</v>
      </c>
      <c r="T622" s="17"/>
    </row>
    <row r="623" spans="2:23">
      <c r="B623" t="s">
        <v>338</v>
      </c>
      <c r="C623">
        <v>2025</v>
      </c>
      <c r="D623" s="2" t="s">
        <v>2708</v>
      </c>
      <c r="E623" s="12" t="s">
        <v>2709</v>
      </c>
      <c r="F623" s="123" t="s">
        <v>2710</v>
      </c>
      <c r="G623" s="12" t="s">
        <v>2711</v>
      </c>
      <c r="I623" t="s">
        <v>973</v>
      </c>
      <c r="J623" t="s">
        <v>1119</v>
      </c>
      <c r="T623" s="17"/>
    </row>
    <row r="624" spans="2:23">
      <c r="B624" t="s">
        <v>338</v>
      </c>
      <c r="C624">
        <v>2025</v>
      </c>
      <c r="D624" s="2" t="s">
        <v>2708</v>
      </c>
      <c r="E624" s="12" t="s">
        <v>2712</v>
      </c>
      <c r="F624" s="12" t="s">
        <v>2713</v>
      </c>
      <c r="G624" s="12" t="s">
        <v>2714</v>
      </c>
      <c r="H624" t="s">
        <v>1180</v>
      </c>
      <c r="I624" t="s">
        <v>973</v>
      </c>
      <c r="J624" t="s">
        <v>1119</v>
      </c>
      <c r="T624" s="17"/>
    </row>
    <row r="625" spans="2:20">
      <c r="B625" t="s">
        <v>338</v>
      </c>
      <c r="C625">
        <v>2025</v>
      </c>
      <c r="D625" s="2" t="s">
        <v>2715</v>
      </c>
      <c r="E625" s="12" t="s">
        <v>2716</v>
      </c>
      <c r="F625" s="12" t="s">
        <v>2717</v>
      </c>
      <c r="G625" s="12" t="s">
        <v>2718</v>
      </c>
      <c r="H625" t="s">
        <v>1633</v>
      </c>
      <c r="I625" t="s">
        <v>973</v>
      </c>
      <c r="J625" t="s">
        <v>968</v>
      </c>
      <c r="T625" s="17"/>
    </row>
    <row r="626" spans="2:20">
      <c r="B626" t="s">
        <v>338</v>
      </c>
      <c r="C626">
        <v>2025</v>
      </c>
      <c r="D626" s="2" t="s">
        <v>2719</v>
      </c>
      <c r="E626" s="12" t="s">
        <v>2720</v>
      </c>
      <c r="F626" s="49" t="s">
        <v>2721</v>
      </c>
      <c r="I626" t="s">
        <v>973</v>
      </c>
      <c r="J626" t="s">
        <v>1119</v>
      </c>
      <c r="T626" s="97">
        <v>12720400</v>
      </c>
    </row>
    <row r="627" spans="2:20">
      <c r="B627" t="s">
        <v>338</v>
      </c>
      <c r="C627">
        <v>2025</v>
      </c>
      <c r="D627" s="2" t="s">
        <v>2722</v>
      </c>
      <c r="E627" s="12" t="s">
        <v>2723</v>
      </c>
      <c r="F627" s="133" t="s">
        <v>2724</v>
      </c>
      <c r="G627" s="12" t="s">
        <v>2725</v>
      </c>
      <c r="H627" t="s">
        <v>1633</v>
      </c>
      <c r="I627" t="s">
        <v>973</v>
      </c>
      <c r="T627" s="17"/>
    </row>
    <row r="628" spans="2:20">
      <c r="B628" t="s">
        <v>358</v>
      </c>
      <c r="C628">
        <v>2025</v>
      </c>
      <c r="D628" s="2">
        <v>45698</v>
      </c>
      <c r="E628" s="12" t="s">
        <v>2726</v>
      </c>
      <c r="F628" s="12" t="s">
        <v>2727</v>
      </c>
      <c r="G628" s="12" t="s">
        <v>2728</v>
      </c>
      <c r="H628" t="s">
        <v>1135</v>
      </c>
      <c r="I628" s="12" t="s">
        <v>973</v>
      </c>
      <c r="J628" t="s">
        <v>968</v>
      </c>
      <c r="M628" s="25" t="s">
        <v>2080</v>
      </c>
      <c r="N628" s="25">
        <v>2077231059</v>
      </c>
      <c r="T628" s="17"/>
    </row>
    <row r="629" spans="2:20">
      <c r="B629" t="s">
        <v>358</v>
      </c>
      <c r="C629">
        <v>2025</v>
      </c>
      <c r="D629" s="2">
        <v>45698</v>
      </c>
      <c r="E629" s="74" t="s">
        <v>2729</v>
      </c>
      <c r="F629" s="134" t="s">
        <v>2730</v>
      </c>
      <c r="G629" s="12" t="s">
        <v>2731</v>
      </c>
      <c r="H629" t="s">
        <v>1180</v>
      </c>
      <c r="I629" t="s">
        <v>48</v>
      </c>
      <c r="J629" t="s">
        <v>968</v>
      </c>
      <c r="M629" s="109" t="s">
        <v>2732</v>
      </c>
      <c r="N629" s="45" t="s">
        <v>2733</v>
      </c>
      <c r="T629" s="92">
        <v>2500000</v>
      </c>
    </row>
    <row r="630" spans="2:20">
      <c r="B630" t="s">
        <v>358</v>
      </c>
      <c r="C630">
        <v>2025</v>
      </c>
      <c r="D630" s="2">
        <v>45698</v>
      </c>
      <c r="E630" s="12" t="s">
        <v>2734</v>
      </c>
      <c r="F630" t="s">
        <v>2735</v>
      </c>
      <c r="G630" s="12" t="s">
        <v>2736</v>
      </c>
      <c r="H630" t="s">
        <v>967</v>
      </c>
      <c r="I630" t="s">
        <v>1353</v>
      </c>
      <c r="J630" t="s">
        <v>968</v>
      </c>
      <c r="T630" s="17"/>
    </row>
    <row r="631" spans="2:20">
      <c r="B631" t="s">
        <v>358</v>
      </c>
      <c r="C631">
        <v>2025</v>
      </c>
      <c r="D631" s="2">
        <v>45698</v>
      </c>
      <c r="E631" s="12" t="s">
        <v>2737</v>
      </c>
      <c r="F631" t="s">
        <v>2735</v>
      </c>
      <c r="G631" s="12" t="s">
        <v>2738</v>
      </c>
      <c r="H631" t="s">
        <v>1633</v>
      </c>
      <c r="I631" s="12" t="s">
        <v>973</v>
      </c>
      <c r="J631" t="s">
        <v>968</v>
      </c>
      <c r="T631" s="17"/>
    </row>
    <row r="632" spans="2:20">
      <c r="B632" t="s">
        <v>358</v>
      </c>
      <c r="C632">
        <v>2025</v>
      </c>
      <c r="D632" s="2">
        <v>45698</v>
      </c>
      <c r="E632" s="135" t="s">
        <v>2739</v>
      </c>
      <c r="F632" s="12" t="s">
        <v>702</v>
      </c>
      <c r="G632" s="55" t="s">
        <v>2740</v>
      </c>
      <c r="I632" s="12" t="s">
        <v>973</v>
      </c>
      <c r="J632" t="s">
        <v>968</v>
      </c>
      <c r="T632" s="17"/>
    </row>
    <row r="633" spans="2:20">
      <c r="B633" t="s">
        <v>358</v>
      </c>
      <c r="C633">
        <v>2025</v>
      </c>
      <c r="D633" s="2">
        <v>45698</v>
      </c>
      <c r="E633" s="63" t="s">
        <v>2741</v>
      </c>
      <c r="F633" s="12" t="s">
        <v>702</v>
      </c>
      <c r="G633" s="55" t="s">
        <v>2740</v>
      </c>
      <c r="H633" t="s">
        <v>1135</v>
      </c>
      <c r="I633" s="12" t="s">
        <v>973</v>
      </c>
      <c r="J633" t="s">
        <v>968</v>
      </c>
      <c r="T633" s="17"/>
    </row>
    <row r="634" spans="2:20">
      <c r="B634" t="s">
        <v>358</v>
      </c>
      <c r="C634">
        <v>2025</v>
      </c>
      <c r="D634" s="2">
        <v>45698</v>
      </c>
      <c r="E634" s="135" t="s">
        <v>2742</v>
      </c>
      <c r="F634" s="12" t="s">
        <v>702</v>
      </c>
      <c r="G634" s="55" t="s">
        <v>2740</v>
      </c>
      <c r="H634" t="s">
        <v>1135</v>
      </c>
      <c r="I634" s="12" t="s">
        <v>973</v>
      </c>
      <c r="J634" t="s">
        <v>968</v>
      </c>
      <c r="T634" s="17"/>
    </row>
    <row r="635" spans="2:20">
      <c r="B635" t="s">
        <v>358</v>
      </c>
      <c r="C635">
        <v>2025</v>
      </c>
      <c r="D635" s="2">
        <v>45698</v>
      </c>
      <c r="E635" s="63" t="s">
        <v>2743</v>
      </c>
      <c r="F635" s="12" t="s">
        <v>702</v>
      </c>
      <c r="G635" s="55" t="s">
        <v>2740</v>
      </c>
      <c r="H635" t="s">
        <v>967</v>
      </c>
      <c r="I635" t="s">
        <v>1302</v>
      </c>
      <c r="J635" t="s">
        <v>968</v>
      </c>
      <c r="T635" s="17"/>
    </row>
    <row r="636" spans="2:20">
      <c r="B636" t="s">
        <v>358</v>
      </c>
      <c r="C636">
        <v>2025</v>
      </c>
      <c r="D636" s="2">
        <v>45698</v>
      </c>
      <c r="E636" s="12" t="s">
        <v>2744</v>
      </c>
      <c r="F636" s="12" t="s">
        <v>815</v>
      </c>
      <c r="G636" s="12" t="s">
        <v>2745</v>
      </c>
      <c r="I636" t="s">
        <v>973</v>
      </c>
      <c r="J636" t="s">
        <v>1119</v>
      </c>
      <c r="T636" s="17"/>
    </row>
    <row r="637" spans="2:20" ht="15.75">
      <c r="B637" t="s">
        <v>358</v>
      </c>
      <c r="C637">
        <v>2025</v>
      </c>
      <c r="D637" s="2">
        <v>45698</v>
      </c>
      <c r="E637" s="12" t="s">
        <v>2746</v>
      </c>
      <c r="F637" s="12" t="s">
        <v>2747</v>
      </c>
      <c r="G637" s="12" t="s">
        <v>2748</v>
      </c>
      <c r="H637" t="s">
        <v>1180</v>
      </c>
      <c r="I637" t="s">
        <v>973</v>
      </c>
      <c r="J637" t="s">
        <v>1119</v>
      </c>
      <c r="N637" s="136">
        <v>1703658858</v>
      </c>
      <c r="T637" s="17"/>
    </row>
    <row r="638" spans="2:20" ht="15.75">
      <c r="B638" t="s">
        <v>358</v>
      </c>
      <c r="C638">
        <v>2025</v>
      </c>
      <c r="D638" s="2">
        <v>45698</v>
      </c>
      <c r="E638" s="12" t="s">
        <v>2749</v>
      </c>
      <c r="F638" s="12" t="s">
        <v>2747</v>
      </c>
      <c r="G638" s="12" t="s">
        <v>2748</v>
      </c>
      <c r="H638" t="s">
        <v>1180</v>
      </c>
      <c r="I638" t="s">
        <v>973</v>
      </c>
      <c r="J638" t="s">
        <v>1119</v>
      </c>
      <c r="N638" s="136">
        <v>1703663204</v>
      </c>
      <c r="T638" s="17"/>
    </row>
    <row r="639" spans="2:20">
      <c r="B639" t="s">
        <v>358</v>
      </c>
      <c r="C639">
        <v>2025</v>
      </c>
      <c r="D639" s="2">
        <v>45698</v>
      </c>
      <c r="E639" s="12" t="s">
        <v>2750</v>
      </c>
      <c r="F639" t="s">
        <v>2751</v>
      </c>
      <c r="G639" s="12" t="s">
        <v>2752</v>
      </c>
      <c r="H639" t="s">
        <v>1364</v>
      </c>
      <c r="I639" t="s">
        <v>1302</v>
      </c>
      <c r="J639" t="s">
        <v>968</v>
      </c>
      <c r="T639" s="17"/>
    </row>
    <row r="640" spans="2:20">
      <c r="B640" t="s">
        <v>358</v>
      </c>
      <c r="C640">
        <v>2025</v>
      </c>
      <c r="D640" s="2">
        <v>45726</v>
      </c>
      <c r="E640" s="12" t="s">
        <v>2753</v>
      </c>
      <c r="F640" s="63" t="s">
        <v>706</v>
      </c>
      <c r="G640" s="12" t="s">
        <v>2754</v>
      </c>
      <c r="H640" t="s">
        <v>967</v>
      </c>
      <c r="I640" t="s">
        <v>48</v>
      </c>
      <c r="J640" t="s">
        <v>968</v>
      </c>
      <c r="T640" s="17"/>
    </row>
    <row r="641" spans="2:20">
      <c r="B641" t="s">
        <v>358</v>
      </c>
      <c r="C641">
        <v>2025</v>
      </c>
      <c r="D641" s="2">
        <v>45726</v>
      </c>
      <c r="E641" s="12" t="s">
        <v>2755</v>
      </c>
      <c r="F641" s="51" t="s">
        <v>711</v>
      </c>
      <c r="G641" s="12" t="s">
        <v>2756</v>
      </c>
      <c r="H641" t="s">
        <v>1633</v>
      </c>
      <c r="I641" t="s">
        <v>973</v>
      </c>
      <c r="J641" t="s">
        <v>968</v>
      </c>
      <c r="T641" s="17"/>
    </row>
    <row r="642" spans="2:20">
      <c r="B642" t="s">
        <v>358</v>
      </c>
      <c r="C642">
        <v>2025</v>
      </c>
      <c r="D642" s="2">
        <v>45726</v>
      </c>
      <c r="E642" s="12" t="s">
        <v>2757</v>
      </c>
      <c r="F642" s="12" t="s">
        <v>311</v>
      </c>
      <c r="G642" s="12" t="s">
        <v>2758</v>
      </c>
      <c r="H642" t="s">
        <v>1633</v>
      </c>
      <c r="I642" t="s">
        <v>973</v>
      </c>
      <c r="J642" t="s">
        <v>968</v>
      </c>
      <c r="T642" s="17"/>
    </row>
    <row r="643" spans="2:20">
      <c r="B643" t="s">
        <v>358</v>
      </c>
      <c r="C643">
        <v>2025</v>
      </c>
      <c r="D643" s="2">
        <v>45940</v>
      </c>
      <c r="E643" s="12" t="s">
        <v>2759</v>
      </c>
      <c r="F643" s="12" t="s">
        <v>2760</v>
      </c>
      <c r="G643" s="12" t="s">
        <v>2761</v>
      </c>
      <c r="H643" t="s">
        <v>967</v>
      </c>
      <c r="I643" t="s">
        <v>48</v>
      </c>
      <c r="J643" t="s">
        <v>968</v>
      </c>
      <c r="T643" s="17"/>
    </row>
    <row r="644" spans="2:20">
      <c r="B644" t="s">
        <v>358</v>
      </c>
      <c r="C644">
        <v>2025</v>
      </c>
      <c r="D644" s="2">
        <v>45940</v>
      </c>
      <c r="E644" s="12" t="s">
        <v>2762</v>
      </c>
      <c r="F644" s="12" t="s">
        <v>713</v>
      </c>
      <c r="G644" s="12" t="s">
        <v>2763</v>
      </c>
      <c r="H644" t="s">
        <v>985</v>
      </c>
      <c r="I644" t="s">
        <v>48</v>
      </c>
      <c r="J644" t="s">
        <v>968</v>
      </c>
      <c r="T644" s="17">
        <v>580000</v>
      </c>
    </row>
    <row r="645" spans="2:20">
      <c r="B645" t="s">
        <v>358</v>
      </c>
      <c r="C645">
        <v>2025</v>
      </c>
      <c r="D645" s="2">
        <v>45940</v>
      </c>
      <c r="E645" s="12" t="s">
        <v>2764</v>
      </c>
      <c r="F645" s="12" t="s">
        <v>713</v>
      </c>
      <c r="G645" s="12" t="s">
        <v>2763</v>
      </c>
      <c r="H645" t="s">
        <v>1633</v>
      </c>
      <c r="I645" t="s">
        <v>973</v>
      </c>
      <c r="T645" s="17"/>
    </row>
    <row r="646" spans="2:20">
      <c r="B646" t="s">
        <v>358</v>
      </c>
      <c r="C646">
        <v>2025</v>
      </c>
      <c r="D646" s="2">
        <v>45940</v>
      </c>
      <c r="E646" s="74" t="s">
        <v>2765</v>
      </c>
      <c r="F646" s="12" t="s">
        <v>716</v>
      </c>
      <c r="G646" s="12" t="s">
        <v>2766</v>
      </c>
      <c r="H646" t="s">
        <v>967</v>
      </c>
      <c r="I646" t="s">
        <v>48</v>
      </c>
      <c r="J646" t="s">
        <v>968</v>
      </c>
      <c r="T646" s="17"/>
    </row>
    <row r="647" spans="2:20">
      <c r="B647" t="s">
        <v>358</v>
      </c>
      <c r="C647">
        <v>2025</v>
      </c>
      <c r="D647" s="2">
        <v>45940</v>
      </c>
      <c r="E647" s="74" t="s">
        <v>2767</v>
      </c>
      <c r="F647" s="12" t="s">
        <v>716</v>
      </c>
      <c r="G647" s="12" t="s">
        <v>2766</v>
      </c>
      <c r="H647" t="s">
        <v>967</v>
      </c>
      <c r="I647" t="s">
        <v>48</v>
      </c>
      <c r="J647" t="s">
        <v>968</v>
      </c>
      <c r="T647" s="17"/>
    </row>
    <row r="648" spans="2:20">
      <c r="B648" t="s">
        <v>358</v>
      </c>
      <c r="C648">
        <v>2025</v>
      </c>
      <c r="D648" s="2">
        <v>45940</v>
      </c>
      <c r="E648" s="12" t="s">
        <v>2768</v>
      </c>
      <c r="F648" s="12" t="s">
        <v>719</v>
      </c>
      <c r="G648" s="12" t="s">
        <v>2769</v>
      </c>
      <c r="I648" t="s">
        <v>48</v>
      </c>
      <c r="J648" t="s">
        <v>968</v>
      </c>
      <c r="T648" s="17"/>
    </row>
    <row r="649" spans="2:20">
      <c r="B649" t="s">
        <v>358</v>
      </c>
      <c r="C649">
        <v>2025</v>
      </c>
      <c r="D649" s="2">
        <v>45940</v>
      </c>
      <c r="E649" s="12" t="s">
        <v>2770</v>
      </c>
      <c r="F649" s="12" t="s">
        <v>719</v>
      </c>
      <c r="G649" s="12" t="s">
        <v>2769</v>
      </c>
      <c r="I649" t="s">
        <v>973</v>
      </c>
      <c r="J649" t="s">
        <v>1119</v>
      </c>
      <c r="M649" s="25" t="s">
        <v>2771</v>
      </c>
      <c r="N649" s="25">
        <v>965953984</v>
      </c>
      <c r="T649" s="17"/>
    </row>
    <row r="650" spans="2:20">
      <c r="B650" t="s">
        <v>358</v>
      </c>
      <c r="C650">
        <v>2025</v>
      </c>
      <c r="D650" s="2">
        <v>45940</v>
      </c>
      <c r="E650" s="12" t="s">
        <v>2772</v>
      </c>
      <c r="F650" s="12" t="s">
        <v>719</v>
      </c>
      <c r="G650" s="12" t="s">
        <v>2769</v>
      </c>
      <c r="I650" t="s">
        <v>973</v>
      </c>
      <c r="J650" t="s">
        <v>968</v>
      </c>
      <c r="M650" s="25" t="s">
        <v>2773</v>
      </c>
      <c r="N650" s="25">
        <v>1732963645</v>
      </c>
      <c r="O650" s="25">
        <v>1732962516</v>
      </c>
      <c r="T650" s="17"/>
    </row>
    <row r="651" spans="2:20">
      <c r="B651" t="s">
        <v>358</v>
      </c>
      <c r="C651">
        <v>2025</v>
      </c>
      <c r="D651" s="2">
        <v>45940</v>
      </c>
      <c r="E651" s="12" t="s">
        <v>2774</v>
      </c>
      <c r="F651" s="63" t="s">
        <v>722</v>
      </c>
      <c r="G651" s="12" t="s">
        <v>2775</v>
      </c>
      <c r="H651" t="s">
        <v>967</v>
      </c>
      <c r="I651" t="s">
        <v>48</v>
      </c>
      <c r="J651" t="s">
        <v>968</v>
      </c>
      <c r="T651" s="17">
        <v>580000</v>
      </c>
    </row>
    <row r="652" spans="2:20">
      <c r="B652" t="s">
        <v>358</v>
      </c>
      <c r="C652">
        <v>2025</v>
      </c>
      <c r="D652" s="2" t="s">
        <v>2776</v>
      </c>
      <c r="E652" s="12" t="s">
        <v>2777</v>
      </c>
      <c r="F652" s="12" t="s">
        <v>2778</v>
      </c>
      <c r="G652" s="12" t="s">
        <v>2779</v>
      </c>
      <c r="H652" t="s">
        <v>1180</v>
      </c>
      <c r="I652" t="s">
        <v>48</v>
      </c>
      <c r="J652" t="s">
        <v>968</v>
      </c>
      <c r="T652" s="17"/>
    </row>
    <row r="653" spans="2:20">
      <c r="B653" t="s">
        <v>358</v>
      </c>
      <c r="C653">
        <v>2025</v>
      </c>
      <c r="D653" s="2" t="s">
        <v>2780</v>
      </c>
      <c r="E653" s="12" t="s">
        <v>2781</v>
      </c>
      <c r="F653" s="12" t="s">
        <v>725</v>
      </c>
      <c r="G653" s="12" t="s">
        <v>2782</v>
      </c>
      <c r="H653" t="s">
        <v>967</v>
      </c>
      <c r="I653" t="s">
        <v>48</v>
      </c>
      <c r="J653" t="s">
        <v>968</v>
      </c>
      <c r="T653" s="17">
        <v>580000</v>
      </c>
    </row>
    <row r="654" spans="2:20">
      <c r="B654" t="s">
        <v>358</v>
      </c>
      <c r="C654">
        <v>2025</v>
      </c>
      <c r="D654" s="2" t="s">
        <v>2783</v>
      </c>
      <c r="E654" s="12" t="s">
        <v>2784</v>
      </c>
      <c r="F654" s="12" t="s">
        <v>2785</v>
      </c>
      <c r="G654" s="12" t="s">
        <v>2786</v>
      </c>
      <c r="H654" t="s">
        <v>1180</v>
      </c>
      <c r="I654" t="s">
        <v>973</v>
      </c>
      <c r="J654" t="s">
        <v>968</v>
      </c>
      <c r="N654" s="61">
        <v>1751104964</v>
      </c>
      <c r="T654" s="17"/>
    </row>
    <row r="655" spans="2:20">
      <c r="B655" t="s">
        <v>358</v>
      </c>
      <c r="C655">
        <v>2025</v>
      </c>
      <c r="D655" s="2" t="s">
        <v>2783</v>
      </c>
      <c r="E655" s="12" t="s">
        <v>2787</v>
      </c>
      <c r="F655" s="12" t="s">
        <v>2785</v>
      </c>
      <c r="G655" s="12" t="s">
        <v>2786</v>
      </c>
      <c r="H655" t="s">
        <v>1180</v>
      </c>
      <c r="I655" t="s">
        <v>973</v>
      </c>
      <c r="J655" t="s">
        <v>968</v>
      </c>
      <c r="N655" s="61">
        <v>1797001854</v>
      </c>
      <c r="O655" s="61">
        <v>1801097202</v>
      </c>
      <c r="T655" s="17"/>
    </row>
    <row r="656" spans="2:20">
      <c r="B656" t="s">
        <v>358</v>
      </c>
      <c r="C656">
        <v>2025</v>
      </c>
      <c r="D656" s="2" t="s">
        <v>2783</v>
      </c>
      <c r="E656" s="12" t="s">
        <v>2788</v>
      </c>
      <c r="F656" s="12" t="s">
        <v>2785</v>
      </c>
      <c r="G656" s="12" t="s">
        <v>2786</v>
      </c>
      <c r="H656" t="s">
        <v>1180</v>
      </c>
      <c r="I656" t="s">
        <v>973</v>
      </c>
      <c r="N656" s="137" t="s">
        <v>2789</v>
      </c>
      <c r="T656" s="17"/>
    </row>
    <row r="657" spans="2:20">
      <c r="B657" t="s">
        <v>358</v>
      </c>
      <c r="C657">
        <v>2025</v>
      </c>
      <c r="D657" s="2" t="s">
        <v>2783</v>
      </c>
      <c r="E657" s="12" t="s">
        <v>2788</v>
      </c>
      <c r="F657" s="12" t="s">
        <v>2785</v>
      </c>
      <c r="G657" s="12" t="s">
        <v>2786</v>
      </c>
      <c r="H657" t="s">
        <v>1180</v>
      </c>
      <c r="I657" t="s">
        <v>973</v>
      </c>
      <c r="N657" s="137" t="s">
        <v>2790</v>
      </c>
      <c r="T657" s="17"/>
    </row>
    <row r="658" spans="2:20">
      <c r="B658" t="s">
        <v>358</v>
      </c>
      <c r="C658">
        <v>2025</v>
      </c>
      <c r="D658" s="2" t="s">
        <v>2791</v>
      </c>
      <c r="E658" s="12" t="s">
        <v>2792</v>
      </c>
      <c r="F658" s="51" t="s">
        <v>728</v>
      </c>
      <c r="G658" s="12" t="s">
        <v>2793</v>
      </c>
      <c r="H658" t="s">
        <v>1135</v>
      </c>
      <c r="I658" t="s">
        <v>973</v>
      </c>
      <c r="J658" t="s">
        <v>968</v>
      </c>
      <c r="N658" s="49">
        <v>1751787095</v>
      </c>
      <c r="T658" s="17"/>
    </row>
    <row r="659" spans="2:20">
      <c r="B659" t="s">
        <v>358</v>
      </c>
      <c r="C659">
        <v>2025</v>
      </c>
      <c r="D659" s="2" t="s">
        <v>2794</v>
      </c>
      <c r="E659" s="12" t="s">
        <v>2795</v>
      </c>
      <c r="F659" s="12" t="s">
        <v>731</v>
      </c>
      <c r="G659" s="12" t="s">
        <v>2796</v>
      </c>
      <c r="H659" t="s">
        <v>967</v>
      </c>
      <c r="I659" t="s">
        <v>48</v>
      </c>
      <c r="J659" t="s">
        <v>968</v>
      </c>
      <c r="T659" s="17">
        <v>580000</v>
      </c>
    </row>
    <row r="660" spans="2:20">
      <c r="B660" t="s">
        <v>358</v>
      </c>
      <c r="C660">
        <v>2025</v>
      </c>
      <c r="D660" s="2" t="s">
        <v>2797</v>
      </c>
      <c r="E660" s="12" t="s">
        <v>2798</v>
      </c>
      <c r="F660" s="51" t="s">
        <v>722</v>
      </c>
      <c r="G660" s="12" t="s">
        <v>2799</v>
      </c>
      <c r="H660" t="s">
        <v>1633</v>
      </c>
      <c r="I660" t="s">
        <v>973</v>
      </c>
      <c r="J660" t="s">
        <v>968</v>
      </c>
      <c r="T660" s="17"/>
    </row>
    <row r="661" spans="2:20">
      <c r="B661" t="s">
        <v>358</v>
      </c>
      <c r="C661">
        <v>2025</v>
      </c>
      <c r="D661" s="2" t="s">
        <v>2797</v>
      </c>
      <c r="E661" t="s">
        <v>2800</v>
      </c>
      <c r="F661" s="12" t="s">
        <v>734</v>
      </c>
      <c r="G661" s="12" t="s">
        <v>2801</v>
      </c>
      <c r="H661" t="s">
        <v>1633</v>
      </c>
      <c r="I661" t="s">
        <v>973</v>
      </c>
      <c r="J661" t="s">
        <v>968</v>
      </c>
      <c r="T661" s="17"/>
    </row>
    <row r="662" spans="2:20">
      <c r="B662" t="s">
        <v>358</v>
      </c>
      <c r="C662">
        <v>2025</v>
      </c>
      <c r="D662" s="2" t="s">
        <v>2797</v>
      </c>
      <c r="E662" t="s">
        <v>2802</v>
      </c>
      <c r="F662" s="12" t="s">
        <v>738</v>
      </c>
      <c r="G662" s="12" t="s">
        <v>2803</v>
      </c>
      <c r="H662" t="s">
        <v>1633</v>
      </c>
      <c r="I662" t="s">
        <v>973</v>
      </c>
      <c r="J662" t="s">
        <v>968</v>
      </c>
      <c r="T662" s="17"/>
    </row>
    <row r="663" spans="2:20">
      <c r="B663" t="s">
        <v>358</v>
      </c>
      <c r="C663">
        <v>2025</v>
      </c>
      <c r="D663" s="2" t="s">
        <v>2804</v>
      </c>
      <c r="E663" s="12" t="s">
        <v>2805</v>
      </c>
      <c r="F663" s="134" t="s">
        <v>2806</v>
      </c>
      <c r="G663" s="12" t="s">
        <v>2807</v>
      </c>
      <c r="H663" t="s">
        <v>1180</v>
      </c>
      <c r="I663" t="s">
        <v>48</v>
      </c>
      <c r="J663" t="s">
        <v>968</v>
      </c>
      <c r="T663" s="17"/>
    </row>
    <row r="664" spans="2:20">
      <c r="B664" t="s">
        <v>358</v>
      </c>
      <c r="C664">
        <v>2025</v>
      </c>
      <c r="D664" s="2" t="s">
        <v>2804</v>
      </c>
      <c r="E664" s="12" t="s">
        <v>2808</v>
      </c>
      <c r="F664" s="134" t="s">
        <v>2809</v>
      </c>
      <c r="G664" s="12" t="s">
        <v>2810</v>
      </c>
      <c r="H664" t="s">
        <v>1180</v>
      </c>
      <c r="I664" t="s">
        <v>48</v>
      </c>
      <c r="J664" t="s">
        <v>968</v>
      </c>
      <c r="T664" s="17"/>
    </row>
    <row r="665" spans="2:20">
      <c r="B665" t="s">
        <v>384</v>
      </c>
      <c r="C665">
        <v>2025</v>
      </c>
      <c r="D665" s="2">
        <v>45727</v>
      </c>
      <c r="E665" t="s">
        <v>2811</v>
      </c>
      <c r="F665" s="12" t="s">
        <v>2812</v>
      </c>
      <c r="G665" s="12" t="s">
        <v>2813</v>
      </c>
      <c r="H665" t="s">
        <v>1633</v>
      </c>
      <c r="I665" t="s">
        <v>973</v>
      </c>
      <c r="J665" t="s">
        <v>968</v>
      </c>
      <c r="T665" s="17"/>
    </row>
    <row r="666" spans="2:20">
      <c r="B666" t="s">
        <v>384</v>
      </c>
      <c r="C666">
        <v>2025</v>
      </c>
      <c r="D666" s="2">
        <v>45727</v>
      </c>
      <c r="E666" s="12" t="s">
        <v>2814</v>
      </c>
      <c r="F666" s="51" t="s">
        <v>2815</v>
      </c>
      <c r="G666" s="12" t="s">
        <v>2816</v>
      </c>
      <c r="I666" t="s">
        <v>48</v>
      </c>
      <c r="J666" t="s">
        <v>968</v>
      </c>
      <c r="T666" s="17"/>
    </row>
    <row r="667" spans="2:20">
      <c r="B667" t="s">
        <v>384</v>
      </c>
      <c r="C667">
        <v>2025</v>
      </c>
      <c r="D667" s="2">
        <v>45727</v>
      </c>
      <c r="E667" s="12" t="s">
        <v>2817</v>
      </c>
      <c r="F667" s="51" t="s">
        <v>2815</v>
      </c>
      <c r="G667" s="12" t="s">
        <v>2816</v>
      </c>
      <c r="I667" t="s">
        <v>973</v>
      </c>
      <c r="J667" t="s">
        <v>968</v>
      </c>
      <c r="T667" s="17"/>
    </row>
    <row r="668" spans="2:20">
      <c r="B668" t="s">
        <v>384</v>
      </c>
      <c r="C668">
        <v>2025</v>
      </c>
      <c r="D668" s="2">
        <v>45727</v>
      </c>
      <c r="E668" s="12" t="s">
        <v>2818</v>
      </c>
      <c r="F668" s="51" t="s">
        <v>2815</v>
      </c>
      <c r="G668" s="12" t="s">
        <v>2816</v>
      </c>
      <c r="H668" t="s">
        <v>1135</v>
      </c>
      <c r="I668" t="s">
        <v>973</v>
      </c>
      <c r="J668" t="s">
        <v>968</v>
      </c>
      <c r="T668" s="17"/>
    </row>
    <row r="669" spans="2:20">
      <c r="B669" t="s">
        <v>384</v>
      </c>
      <c r="C669">
        <v>2025</v>
      </c>
      <c r="D669" s="2">
        <v>45758</v>
      </c>
      <c r="E669" s="12" t="s">
        <v>2819</v>
      </c>
      <c r="F669" s="25" t="s">
        <v>2820</v>
      </c>
      <c r="G669" s="12" t="s">
        <v>2821</v>
      </c>
      <c r="H669" t="s">
        <v>1135</v>
      </c>
      <c r="I669" t="s">
        <v>1353</v>
      </c>
      <c r="J669" t="s">
        <v>968</v>
      </c>
      <c r="T669" s="17"/>
    </row>
    <row r="670" spans="2:20" ht="45.75">
      <c r="B670" t="s">
        <v>384</v>
      </c>
      <c r="C670">
        <v>2025</v>
      </c>
      <c r="D670" s="2">
        <v>45849</v>
      </c>
      <c r="E670" s="44" t="s">
        <v>2822</v>
      </c>
      <c r="F670" s="12" t="s">
        <v>744</v>
      </c>
      <c r="G670" s="12" t="s">
        <v>2823</v>
      </c>
      <c r="H670" t="s">
        <v>1633</v>
      </c>
      <c r="I670" t="s">
        <v>973</v>
      </c>
      <c r="J670" t="s">
        <v>968</v>
      </c>
      <c r="T670" s="17"/>
    </row>
    <row r="671" spans="2:20">
      <c r="B671" t="s">
        <v>384</v>
      </c>
      <c r="C671">
        <v>2025</v>
      </c>
      <c r="D671" s="2">
        <v>45972</v>
      </c>
      <c r="E671" t="s">
        <v>2824</v>
      </c>
      <c r="G671" s="12" t="s">
        <v>2825</v>
      </c>
      <c r="H671" t="s">
        <v>1633</v>
      </c>
      <c r="I671" t="s">
        <v>973</v>
      </c>
      <c r="J671" t="s">
        <v>968</v>
      </c>
      <c r="T671" s="17"/>
    </row>
    <row r="672" spans="2:20">
      <c r="B672" t="s">
        <v>384</v>
      </c>
      <c r="C672">
        <v>2025</v>
      </c>
      <c r="D672" s="2">
        <v>46002</v>
      </c>
      <c r="E672" s="12" t="s">
        <v>2826</v>
      </c>
      <c r="F672" s="134" t="s">
        <v>2827</v>
      </c>
      <c r="G672" s="12" t="s">
        <v>2828</v>
      </c>
      <c r="H672" t="s">
        <v>1633</v>
      </c>
      <c r="I672" t="s">
        <v>973</v>
      </c>
      <c r="J672" t="s">
        <v>968</v>
      </c>
      <c r="T672" s="17"/>
    </row>
    <row r="673" spans="2:20">
      <c r="B673" t="s">
        <v>384</v>
      </c>
      <c r="C673">
        <v>2025</v>
      </c>
      <c r="D673" s="2" t="s">
        <v>2829</v>
      </c>
      <c r="E673" s="12" t="s">
        <v>2830</v>
      </c>
      <c r="F673" s="123" t="s">
        <v>2831</v>
      </c>
      <c r="G673" s="12" t="s">
        <v>2832</v>
      </c>
      <c r="H673" t="s">
        <v>1180</v>
      </c>
      <c r="I673" t="s">
        <v>973</v>
      </c>
      <c r="J673" t="s">
        <v>1119</v>
      </c>
      <c r="N673" s="140">
        <v>1213752156</v>
      </c>
      <c r="T673" s="17"/>
    </row>
    <row r="674" spans="2:20">
      <c r="B674" t="s">
        <v>384</v>
      </c>
      <c r="C674">
        <v>2025</v>
      </c>
      <c r="D674" s="2" t="s">
        <v>2829</v>
      </c>
      <c r="E674" s="12" t="s">
        <v>2833</v>
      </c>
      <c r="F674" s="123" t="s">
        <v>2831</v>
      </c>
      <c r="G674" s="12" t="s">
        <v>2832</v>
      </c>
      <c r="H674" t="s">
        <v>1180</v>
      </c>
      <c r="I674" t="s">
        <v>973</v>
      </c>
      <c r="J674" t="s">
        <v>1119</v>
      </c>
      <c r="N674" s="140">
        <v>1214158419</v>
      </c>
      <c r="T674" s="17"/>
    </row>
    <row r="675" spans="2:20">
      <c r="B675" t="s">
        <v>384</v>
      </c>
      <c r="C675">
        <v>2025</v>
      </c>
      <c r="D675" s="2" t="s">
        <v>2829</v>
      </c>
      <c r="E675" s="12" t="s">
        <v>2830</v>
      </c>
      <c r="F675" s="123" t="s">
        <v>2831</v>
      </c>
      <c r="G675" s="12" t="s">
        <v>2832</v>
      </c>
      <c r="H675" t="s">
        <v>1180</v>
      </c>
      <c r="I675" t="s">
        <v>973</v>
      </c>
      <c r="J675" t="s">
        <v>1119</v>
      </c>
      <c r="N675" s="140">
        <v>834071979</v>
      </c>
      <c r="T675" s="17"/>
    </row>
    <row r="676" spans="2:20">
      <c r="B676" t="s">
        <v>384</v>
      </c>
      <c r="C676">
        <v>2025</v>
      </c>
      <c r="D676" s="2" t="s">
        <v>2829</v>
      </c>
      <c r="E676" s="12" t="s">
        <v>2834</v>
      </c>
      <c r="F676" s="123" t="s">
        <v>2831</v>
      </c>
      <c r="G676" s="12" t="s">
        <v>2832</v>
      </c>
      <c r="H676" t="s">
        <v>1180</v>
      </c>
      <c r="I676" t="s">
        <v>973</v>
      </c>
      <c r="J676" t="s">
        <v>968</v>
      </c>
      <c r="N676" s="140">
        <v>2062792463</v>
      </c>
      <c r="T676" s="17"/>
    </row>
    <row r="677" spans="2:20">
      <c r="B677" t="s">
        <v>384</v>
      </c>
      <c r="C677">
        <v>2025</v>
      </c>
      <c r="D677" s="2" t="s">
        <v>2829</v>
      </c>
      <c r="E677" s="12" t="s">
        <v>2835</v>
      </c>
      <c r="F677" s="123" t="s">
        <v>2831</v>
      </c>
      <c r="G677" s="12" t="s">
        <v>2832</v>
      </c>
      <c r="H677" t="s">
        <v>1180</v>
      </c>
      <c r="I677" t="s">
        <v>973</v>
      </c>
      <c r="J677" t="s">
        <v>1119</v>
      </c>
      <c r="N677" s="140">
        <v>2062341107</v>
      </c>
      <c r="T677" s="17"/>
    </row>
    <row r="678" spans="2:20">
      <c r="B678" t="s">
        <v>384</v>
      </c>
      <c r="C678">
        <v>2025</v>
      </c>
      <c r="D678" s="2" t="s">
        <v>2836</v>
      </c>
      <c r="E678" s="12" t="s">
        <v>2837</v>
      </c>
      <c r="F678" s="49" t="s">
        <v>881</v>
      </c>
      <c r="G678" s="12" t="s">
        <v>2838</v>
      </c>
      <c r="H678" t="s">
        <v>1633</v>
      </c>
      <c r="I678" t="s">
        <v>973</v>
      </c>
      <c r="J678" t="s">
        <v>968</v>
      </c>
      <c r="T678" s="17"/>
    </row>
    <row r="679" spans="2:20">
      <c r="B679" t="s">
        <v>384</v>
      </c>
      <c r="C679">
        <v>2025</v>
      </c>
      <c r="D679" s="2" t="s">
        <v>2836</v>
      </c>
      <c r="E679" s="12" t="s">
        <v>2839</v>
      </c>
      <c r="F679" s="49" t="s">
        <v>881</v>
      </c>
      <c r="G679" s="12" t="s">
        <v>2838</v>
      </c>
      <c r="H679" t="s">
        <v>967</v>
      </c>
      <c r="I679" t="s">
        <v>1302</v>
      </c>
      <c r="J679" t="s">
        <v>968</v>
      </c>
      <c r="M679" t="s">
        <v>2840</v>
      </c>
      <c r="T679" s="17"/>
    </row>
    <row r="680" spans="2:20">
      <c r="B680" t="s">
        <v>384</v>
      </c>
      <c r="C680">
        <v>2025</v>
      </c>
      <c r="D680" s="2" t="s">
        <v>2836</v>
      </c>
      <c r="E680" s="12" t="s">
        <v>2841</v>
      </c>
      <c r="G680" s="12" t="s">
        <v>2838</v>
      </c>
      <c r="H680" t="s">
        <v>1633</v>
      </c>
      <c r="I680" t="s">
        <v>973</v>
      </c>
      <c r="J680" t="s">
        <v>2842</v>
      </c>
      <c r="T680" s="17"/>
    </row>
    <row r="681" spans="2:20">
      <c r="B681" t="s">
        <v>384</v>
      </c>
      <c r="C681">
        <v>2025</v>
      </c>
      <c r="D681" s="2" t="s">
        <v>2836</v>
      </c>
      <c r="E681" s="12" t="s">
        <v>2843</v>
      </c>
      <c r="F681" s="51" t="s">
        <v>748</v>
      </c>
      <c r="G681" s="12" t="s">
        <v>2844</v>
      </c>
      <c r="H681" t="s">
        <v>1633</v>
      </c>
      <c r="I681" t="s">
        <v>973</v>
      </c>
      <c r="J681" t="s">
        <v>968</v>
      </c>
      <c r="T681" s="17"/>
    </row>
    <row r="682" spans="2:20">
      <c r="B682" t="s">
        <v>384</v>
      </c>
      <c r="C682">
        <v>2025</v>
      </c>
      <c r="D682" s="2" t="s">
        <v>2836</v>
      </c>
      <c r="E682" t="s">
        <v>2845</v>
      </c>
      <c r="F682" s="123" t="s">
        <v>2846</v>
      </c>
      <c r="G682" s="12" t="s">
        <v>2847</v>
      </c>
      <c r="H682" t="s">
        <v>1180</v>
      </c>
      <c r="I682" t="s">
        <v>973</v>
      </c>
      <c r="J682" t="s">
        <v>1119</v>
      </c>
      <c r="N682" s="140">
        <v>1219906640</v>
      </c>
      <c r="T682" s="17"/>
    </row>
    <row r="683" spans="2:20">
      <c r="B683" t="s">
        <v>384</v>
      </c>
      <c r="C683">
        <v>2025</v>
      </c>
      <c r="D683" s="2" t="s">
        <v>2836</v>
      </c>
      <c r="E683" t="s">
        <v>2848</v>
      </c>
      <c r="F683" s="123" t="s">
        <v>2846</v>
      </c>
      <c r="G683" s="12" t="s">
        <v>2847</v>
      </c>
      <c r="H683" t="s">
        <v>1180</v>
      </c>
      <c r="I683" t="s">
        <v>973</v>
      </c>
      <c r="J683" t="s">
        <v>1119</v>
      </c>
      <c r="N683" s="140">
        <v>1219905421</v>
      </c>
      <c r="T683" s="17"/>
    </row>
    <row r="684" spans="2:20">
      <c r="B684" t="s">
        <v>384</v>
      </c>
      <c r="C684">
        <v>2025</v>
      </c>
      <c r="D684" s="2" t="s">
        <v>2836</v>
      </c>
      <c r="E684" s="12" t="s">
        <v>2849</v>
      </c>
      <c r="F684" s="123" t="s">
        <v>2785</v>
      </c>
      <c r="G684" s="12" t="s">
        <v>2850</v>
      </c>
      <c r="H684" t="s">
        <v>1180</v>
      </c>
      <c r="I684" t="s">
        <v>1302</v>
      </c>
      <c r="J684" t="s">
        <v>968</v>
      </c>
      <c r="N684" s="140" t="s">
        <v>2851</v>
      </c>
      <c r="T684" s="17"/>
    </row>
    <row r="685" spans="2:20">
      <c r="B685" t="s">
        <v>384</v>
      </c>
      <c r="C685">
        <v>2025</v>
      </c>
      <c r="D685" s="2" t="s">
        <v>2836</v>
      </c>
      <c r="E685" s="12" t="s">
        <v>2852</v>
      </c>
      <c r="F685" s="123" t="s">
        <v>2785</v>
      </c>
      <c r="G685" s="12" t="s">
        <v>2850</v>
      </c>
      <c r="H685" t="s">
        <v>1180</v>
      </c>
      <c r="I685" t="s">
        <v>1302</v>
      </c>
      <c r="J685" t="s">
        <v>968</v>
      </c>
      <c r="N685" s="140">
        <v>888242558974</v>
      </c>
      <c r="T685" s="17"/>
    </row>
    <row r="686" spans="2:20">
      <c r="B686" t="s">
        <v>384</v>
      </c>
      <c r="C686">
        <v>2025</v>
      </c>
      <c r="D686" s="2" t="s">
        <v>2836</v>
      </c>
      <c r="E686" s="12" t="s">
        <v>2853</v>
      </c>
      <c r="F686" s="63" t="s">
        <v>2854</v>
      </c>
      <c r="G686" s="12" t="s">
        <v>2855</v>
      </c>
      <c r="H686" t="s">
        <v>967</v>
      </c>
      <c r="I686" t="s">
        <v>48</v>
      </c>
      <c r="J686" t="s">
        <v>968</v>
      </c>
      <c r="T686" s="17"/>
    </row>
    <row r="687" spans="2:20">
      <c r="B687" t="s">
        <v>384</v>
      </c>
      <c r="C687">
        <v>2025</v>
      </c>
      <c r="D687" s="2" t="s">
        <v>2856</v>
      </c>
      <c r="E687" s="12" t="s">
        <v>2857</v>
      </c>
      <c r="F687" s="63" t="s">
        <v>784</v>
      </c>
      <c r="G687" s="12" t="s">
        <v>2858</v>
      </c>
      <c r="H687" t="s">
        <v>967</v>
      </c>
      <c r="I687" t="s">
        <v>48</v>
      </c>
      <c r="J687" t="s">
        <v>968</v>
      </c>
      <c r="T687" s="17"/>
    </row>
    <row r="688" spans="2:20">
      <c r="B688" t="s">
        <v>384</v>
      </c>
      <c r="C688">
        <v>2025</v>
      </c>
      <c r="D688" s="2" t="s">
        <v>2859</v>
      </c>
      <c r="E688" s="12" t="s">
        <v>2792</v>
      </c>
      <c r="F688" s="51" t="s">
        <v>2860</v>
      </c>
      <c r="G688" s="12" t="s">
        <v>2861</v>
      </c>
      <c r="H688" t="s">
        <v>1135</v>
      </c>
      <c r="I688" t="s">
        <v>973</v>
      </c>
      <c r="J688" t="s">
        <v>968</v>
      </c>
      <c r="M688" s="156" t="s">
        <v>2862</v>
      </c>
      <c r="N688" s="155">
        <v>1751787095</v>
      </c>
      <c r="T688" s="17"/>
    </row>
    <row r="689" spans="2:20">
      <c r="B689" t="s">
        <v>384</v>
      </c>
      <c r="C689">
        <v>2025</v>
      </c>
      <c r="D689" s="2" t="s">
        <v>2859</v>
      </c>
      <c r="E689" s="12" t="s">
        <v>2863</v>
      </c>
      <c r="G689" s="12" t="s">
        <v>2864</v>
      </c>
      <c r="H689" t="s">
        <v>1135</v>
      </c>
      <c r="I689" t="s">
        <v>973</v>
      </c>
      <c r="J689" t="s">
        <v>968</v>
      </c>
      <c r="N689" s="25" t="s">
        <v>2865</v>
      </c>
      <c r="O689" s="25" t="s">
        <v>2866</v>
      </c>
      <c r="T689" s="17"/>
    </row>
    <row r="690" spans="2:20">
      <c r="B690" t="s">
        <v>384</v>
      </c>
      <c r="C690">
        <v>2025</v>
      </c>
      <c r="D690" s="2" t="s">
        <v>2867</v>
      </c>
      <c r="E690" s="12" t="s">
        <v>2716</v>
      </c>
      <c r="F690" s="12" t="s">
        <v>759</v>
      </c>
      <c r="G690" s="12" t="s">
        <v>2868</v>
      </c>
      <c r="H690" t="s">
        <v>1633</v>
      </c>
      <c r="I690" t="s">
        <v>973</v>
      </c>
      <c r="J690" t="s">
        <v>968</v>
      </c>
      <c r="T690" s="17"/>
    </row>
    <row r="691" spans="2:20">
      <c r="B691" t="s">
        <v>384</v>
      </c>
      <c r="C691">
        <v>2025</v>
      </c>
      <c r="D691" s="2" t="s">
        <v>2867</v>
      </c>
      <c r="E691" s="12" t="s">
        <v>2869</v>
      </c>
      <c r="F691" s="12" t="s">
        <v>2870</v>
      </c>
      <c r="G691" s="12" t="s">
        <v>2871</v>
      </c>
      <c r="H691" t="s">
        <v>1135</v>
      </c>
      <c r="I691" t="s">
        <v>973</v>
      </c>
      <c r="J691" t="s">
        <v>968</v>
      </c>
      <c r="N691" s="25" t="s">
        <v>2865</v>
      </c>
      <c r="O691" s="25" t="s">
        <v>2866</v>
      </c>
      <c r="T691" s="17"/>
    </row>
    <row r="692" spans="2:20">
      <c r="B692" t="s">
        <v>384</v>
      </c>
      <c r="C692">
        <v>2025</v>
      </c>
      <c r="D692" s="2" t="s">
        <v>2872</v>
      </c>
      <c r="E692" s="12" t="s">
        <v>2873</v>
      </c>
      <c r="F692" s="12" t="s">
        <v>2874</v>
      </c>
      <c r="G692" s="12" t="s">
        <v>2875</v>
      </c>
      <c r="H692" t="s">
        <v>1180</v>
      </c>
      <c r="I692" t="s">
        <v>973</v>
      </c>
      <c r="J692" t="s">
        <v>1119</v>
      </c>
      <c r="N692" s="157">
        <v>1766542801</v>
      </c>
      <c r="T692" s="17"/>
    </row>
    <row r="693" spans="2:20">
      <c r="B693" t="s">
        <v>384</v>
      </c>
      <c r="C693">
        <v>2025</v>
      </c>
      <c r="D693" s="2" t="s">
        <v>2872</v>
      </c>
      <c r="E693" s="12" t="s">
        <v>2876</v>
      </c>
      <c r="F693" s="12" t="s">
        <v>2874</v>
      </c>
      <c r="G693" s="12" t="s">
        <v>2875</v>
      </c>
      <c r="H693" t="s">
        <v>1180</v>
      </c>
      <c r="I693" t="s">
        <v>973</v>
      </c>
      <c r="J693" t="s">
        <v>1119</v>
      </c>
      <c r="N693" s="157">
        <v>1766542461</v>
      </c>
      <c r="T693" s="17"/>
    </row>
    <row r="694" spans="2:20">
      <c r="B694" t="s">
        <v>384</v>
      </c>
      <c r="C694">
        <v>2025</v>
      </c>
      <c r="D694" s="2" t="s">
        <v>2877</v>
      </c>
      <c r="E694" s="12" t="s">
        <v>2878</v>
      </c>
      <c r="F694" s="51" t="s">
        <v>2879</v>
      </c>
      <c r="G694" s="12" t="s">
        <v>2880</v>
      </c>
      <c r="H694" t="s">
        <v>1633</v>
      </c>
      <c r="I694" t="s">
        <v>973</v>
      </c>
      <c r="J694" t="s">
        <v>968</v>
      </c>
      <c r="T694" s="17"/>
    </row>
    <row r="695" spans="2:20">
      <c r="B695" t="s">
        <v>384</v>
      </c>
      <c r="C695">
        <v>2025</v>
      </c>
      <c r="D695" s="2" t="s">
        <v>2877</v>
      </c>
      <c r="E695" s="12" t="s">
        <v>2881</v>
      </c>
      <c r="F695" s="51" t="s">
        <v>2879</v>
      </c>
      <c r="G695" s="12" t="s">
        <v>2882</v>
      </c>
      <c r="H695" t="s">
        <v>1633</v>
      </c>
      <c r="I695" t="s">
        <v>973</v>
      </c>
      <c r="J695" t="s">
        <v>968</v>
      </c>
      <c r="T695" s="17"/>
    </row>
    <row r="696" spans="2:20">
      <c r="B696" t="s">
        <v>408</v>
      </c>
      <c r="C696">
        <v>2025</v>
      </c>
      <c r="D696" s="2">
        <v>45669</v>
      </c>
      <c r="E696" s="12" t="s">
        <v>2883</v>
      </c>
      <c r="F696" s="12" t="s">
        <v>2884</v>
      </c>
      <c r="G696" s="12" t="s">
        <v>2885</v>
      </c>
      <c r="H696" t="s">
        <v>1180</v>
      </c>
      <c r="I696" t="s">
        <v>48</v>
      </c>
      <c r="J696" t="s">
        <v>968</v>
      </c>
      <c r="M696" s="140" t="s">
        <v>1158</v>
      </c>
      <c r="N696" s="25">
        <v>888081553619</v>
      </c>
      <c r="T696" s="17"/>
    </row>
    <row r="697" spans="2:20">
      <c r="B697" t="s">
        <v>408</v>
      </c>
      <c r="C697">
        <v>2025</v>
      </c>
      <c r="D697" s="2">
        <v>45669</v>
      </c>
      <c r="E697" s="12" t="s">
        <v>2886</v>
      </c>
      <c r="F697" s="12" t="s">
        <v>2884</v>
      </c>
      <c r="G697" s="12" t="s">
        <v>2885</v>
      </c>
      <c r="H697" t="s">
        <v>1180</v>
      </c>
      <c r="I697" t="s">
        <v>48</v>
      </c>
      <c r="J697" t="s">
        <v>968</v>
      </c>
      <c r="M697" s="25" t="s">
        <v>2887</v>
      </c>
      <c r="T697" s="17"/>
    </row>
    <row r="698" spans="2:20">
      <c r="B698" t="s">
        <v>408</v>
      </c>
      <c r="C698">
        <v>2025</v>
      </c>
      <c r="D698" s="2">
        <v>45700</v>
      </c>
      <c r="E698" s="12" t="s">
        <v>2888</v>
      </c>
      <c r="F698" s="12" t="s">
        <v>788</v>
      </c>
      <c r="G698" s="12" t="s">
        <v>2889</v>
      </c>
      <c r="H698" t="s">
        <v>1633</v>
      </c>
      <c r="I698" t="s">
        <v>973</v>
      </c>
      <c r="J698" t="s">
        <v>968</v>
      </c>
      <c r="M698" s="12" t="s">
        <v>2889</v>
      </c>
      <c r="T698" s="17"/>
    </row>
    <row r="699" spans="2:20">
      <c r="B699" t="s">
        <v>408</v>
      </c>
      <c r="C699">
        <v>2025</v>
      </c>
      <c r="D699" s="2">
        <v>45728</v>
      </c>
      <c r="E699" s="12" t="s">
        <v>2890</v>
      </c>
      <c r="F699" s="141" t="s">
        <v>2831</v>
      </c>
      <c r="G699" s="12" t="s">
        <v>2891</v>
      </c>
      <c r="H699" t="s">
        <v>1556</v>
      </c>
      <c r="I699" t="s">
        <v>973</v>
      </c>
      <c r="J699" t="s">
        <v>968</v>
      </c>
      <c r="M699" s="141" t="s">
        <v>2892</v>
      </c>
      <c r="N699" s="141">
        <v>2061209868</v>
      </c>
      <c r="T699" s="17"/>
    </row>
    <row r="700" spans="2:20">
      <c r="B700" t="s">
        <v>408</v>
      </c>
      <c r="C700">
        <v>2025</v>
      </c>
      <c r="D700" s="2">
        <v>45759</v>
      </c>
      <c r="E700" s="12" t="s">
        <v>2893</v>
      </c>
      <c r="F700" s="12" t="s">
        <v>2894</v>
      </c>
      <c r="G700" s="12" t="s">
        <v>2895</v>
      </c>
      <c r="H700" t="s">
        <v>1180</v>
      </c>
      <c r="I700" t="s">
        <v>48</v>
      </c>
      <c r="J700" t="s">
        <v>968</v>
      </c>
      <c r="M700" s="159" t="s">
        <v>2896</v>
      </c>
      <c r="N700" s="159" t="s">
        <v>2897</v>
      </c>
      <c r="T700" s="17"/>
    </row>
    <row r="701" spans="2:20">
      <c r="B701" t="s">
        <v>408</v>
      </c>
      <c r="C701">
        <v>2025</v>
      </c>
      <c r="D701" s="2">
        <v>45881</v>
      </c>
      <c r="E701" s="12" t="s">
        <v>2898</v>
      </c>
      <c r="F701" s="141" t="s">
        <v>791</v>
      </c>
      <c r="G701" s="12" t="s">
        <v>2899</v>
      </c>
      <c r="H701" t="s">
        <v>1135</v>
      </c>
      <c r="I701" t="s">
        <v>48</v>
      </c>
      <c r="J701" t="s">
        <v>968</v>
      </c>
      <c r="M701" s="159"/>
      <c r="N701" s="141" t="s">
        <v>2015</v>
      </c>
      <c r="O701" s="141" t="s">
        <v>2900</v>
      </c>
      <c r="T701" s="17"/>
    </row>
    <row r="702" spans="2:20">
      <c r="B702" t="s">
        <v>408</v>
      </c>
      <c r="C702">
        <v>2025</v>
      </c>
      <c r="D702" s="2">
        <v>45881</v>
      </c>
      <c r="E702" t="s">
        <v>2901</v>
      </c>
      <c r="F702" s="12" t="s">
        <v>2902</v>
      </c>
      <c r="G702" s="12" t="s">
        <v>2903</v>
      </c>
      <c r="H702" t="s">
        <v>1180</v>
      </c>
      <c r="I702" t="s">
        <v>48</v>
      </c>
      <c r="J702" t="s">
        <v>968</v>
      </c>
      <c r="M702" s="140" t="s">
        <v>1088</v>
      </c>
      <c r="N702" s="140">
        <v>888151721386</v>
      </c>
      <c r="T702" s="17"/>
    </row>
    <row r="703" spans="2:20" ht="15.75">
      <c r="B703" t="s">
        <v>408</v>
      </c>
      <c r="C703">
        <v>2025</v>
      </c>
      <c r="D703" s="2">
        <v>45881</v>
      </c>
      <c r="E703" t="s">
        <v>2904</v>
      </c>
      <c r="F703" s="12" t="s">
        <v>2902</v>
      </c>
      <c r="G703" s="12" t="s">
        <v>2903</v>
      </c>
      <c r="H703" t="s">
        <v>1180</v>
      </c>
      <c r="I703" t="s">
        <v>48</v>
      </c>
      <c r="J703" t="s">
        <v>968</v>
      </c>
      <c r="M703" s="160" t="s">
        <v>2905</v>
      </c>
      <c r="T703" s="17"/>
    </row>
    <row r="704" spans="2:20" ht="15.75">
      <c r="B704" t="s">
        <v>408</v>
      </c>
      <c r="C704">
        <v>2025</v>
      </c>
      <c r="D704" s="2">
        <v>45912</v>
      </c>
      <c r="E704" s="12" t="s">
        <v>2906</v>
      </c>
      <c r="F704" s="63" t="s">
        <v>2907</v>
      </c>
      <c r="G704" s="12" t="s">
        <v>2908</v>
      </c>
      <c r="H704" t="s">
        <v>967</v>
      </c>
      <c r="I704" t="s">
        <v>48</v>
      </c>
      <c r="J704" t="s">
        <v>968</v>
      </c>
      <c r="M704" s="160"/>
      <c r="T704" s="17"/>
    </row>
    <row r="705" spans="2:20" ht="15.75">
      <c r="B705" t="s">
        <v>408</v>
      </c>
      <c r="C705">
        <v>2025</v>
      </c>
      <c r="D705" s="2">
        <v>45912</v>
      </c>
      <c r="E705" s="12" t="s">
        <v>2909</v>
      </c>
      <c r="F705" s="49" t="s">
        <v>2910</v>
      </c>
      <c r="G705" s="12" t="s">
        <v>2911</v>
      </c>
      <c r="H705" t="s">
        <v>967</v>
      </c>
      <c r="I705" t="s">
        <v>48</v>
      </c>
      <c r="J705" t="s">
        <v>968</v>
      </c>
      <c r="M705" s="160"/>
      <c r="T705" s="17"/>
    </row>
    <row r="706" spans="2:20" ht="27.75">
      <c r="B706" t="s">
        <v>408</v>
      </c>
      <c r="C706">
        <v>2025</v>
      </c>
      <c r="D706" s="2" t="s">
        <v>2912</v>
      </c>
      <c r="E706" s="55" t="s">
        <v>2913</v>
      </c>
      <c r="F706" s="12" t="s">
        <v>795</v>
      </c>
      <c r="G706" s="12" t="s">
        <v>2914</v>
      </c>
      <c r="H706" t="s">
        <v>967</v>
      </c>
      <c r="I706" t="s">
        <v>48</v>
      </c>
      <c r="J706" t="s">
        <v>968</v>
      </c>
      <c r="T706" s="17"/>
    </row>
    <row r="707" spans="2:20">
      <c r="B707" t="s">
        <v>408</v>
      </c>
      <c r="C707">
        <v>2025</v>
      </c>
      <c r="D707" s="2" t="s">
        <v>2912</v>
      </c>
      <c r="E707" s="12" t="s">
        <v>2915</v>
      </c>
      <c r="F707" s="12" t="s">
        <v>2916</v>
      </c>
      <c r="G707" s="12" t="s">
        <v>2914</v>
      </c>
      <c r="H707" t="s">
        <v>1180</v>
      </c>
      <c r="I707" t="s">
        <v>48</v>
      </c>
      <c r="J707" t="s">
        <v>968</v>
      </c>
      <c r="M707" s="157" t="s">
        <v>2096</v>
      </c>
      <c r="T707" s="17"/>
    </row>
    <row r="708" spans="2:20">
      <c r="B708" t="s">
        <v>408</v>
      </c>
      <c r="C708">
        <v>2025</v>
      </c>
      <c r="D708" s="2" t="s">
        <v>2912</v>
      </c>
      <c r="E708" s="12" t="s">
        <v>2917</v>
      </c>
      <c r="F708" s="12" t="s">
        <v>2916</v>
      </c>
      <c r="G708" s="12" t="s">
        <v>2914</v>
      </c>
      <c r="H708" t="s">
        <v>1180</v>
      </c>
      <c r="I708" t="s">
        <v>48</v>
      </c>
      <c r="J708" t="s">
        <v>968</v>
      </c>
      <c r="M708" s="157" t="s">
        <v>2096</v>
      </c>
      <c r="T708" s="17"/>
    </row>
    <row r="709" spans="2:20">
      <c r="B709" t="s">
        <v>408</v>
      </c>
      <c r="C709">
        <v>2025</v>
      </c>
      <c r="D709" s="2" t="s">
        <v>2918</v>
      </c>
      <c r="E709" s="12" t="s">
        <v>2919</v>
      </c>
      <c r="H709" t="s">
        <v>967</v>
      </c>
      <c r="I709" t="s">
        <v>973</v>
      </c>
      <c r="J709" t="s">
        <v>968</v>
      </c>
      <c r="T709" s="17"/>
    </row>
    <row r="710" spans="2:20">
      <c r="B710" t="s">
        <v>408</v>
      </c>
      <c r="C710">
        <v>2025</v>
      </c>
      <c r="D710" s="2" t="s">
        <v>2920</v>
      </c>
      <c r="E710" s="12" t="s">
        <v>2921</v>
      </c>
      <c r="H710" t="s">
        <v>967</v>
      </c>
      <c r="I710" t="s">
        <v>48</v>
      </c>
      <c r="J710" t="s">
        <v>968</v>
      </c>
      <c r="M710" t="s">
        <v>2922</v>
      </c>
      <c r="T710" s="17"/>
    </row>
    <row r="711" spans="2:20">
      <c r="B711" t="s">
        <v>408</v>
      </c>
      <c r="C711">
        <v>2025</v>
      </c>
      <c r="D711" s="2" t="s">
        <v>2923</v>
      </c>
      <c r="E711" t="s">
        <v>2924</v>
      </c>
      <c r="H711" t="s">
        <v>1180</v>
      </c>
      <c r="I711" t="s">
        <v>973</v>
      </c>
      <c r="J711" t="s">
        <v>1119</v>
      </c>
      <c r="N711" s="25">
        <v>1257880104</v>
      </c>
      <c r="O711" s="25">
        <v>1257874438</v>
      </c>
      <c r="T711" s="17"/>
    </row>
    <row r="712" spans="2:20">
      <c r="B712" t="s">
        <v>408</v>
      </c>
      <c r="C712">
        <v>2025</v>
      </c>
      <c r="D712" s="2" t="s">
        <v>2925</v>
      </c>
      <c r="E712" t="s">
        <v>2926</v>
      </c>
      <c r="H712" t="s">
        <v>1633</v>
      </c>
      <c r="I712" t="s">
        <v>973</v>
      </c>
      <c r="J712" t="s">
        <v>968</v>
      </c>
      <c r="T712" s="17"/>
    </row>
    <row r="713" spans="2:20">
      <c r="B713" t="s">
        <v>408</v>
      </c>
      <c r="C713">
        <v>2025</v>
      </c>
      <c r="D713" s="2" t="s">
        <v>2925</v>
      </c>
      <c r="E713" s="12" t="s">
        <v>2927</v>
      </c>
      <c r="I713" t="s">
        <v>973</v>
      </c>
      <c r="J713" t="s">
        <v>2928</v>
      </c>
      <c r="T713" s="17"/>
    </row>
    <row r="714" spans="2:20">
      <c r="B714" t="s">
        <v>408</v>
      </c>
      <c r="C714">
        <v>2025</v>
      </c>
      <c r="D714" s="2" t="s">
        <v>812</v>
      </c>
      <c r="E714" t="s">
        <v>2929</v>
      </c>
      <c r="H714" t="s">
        <v>1180</v>
      </c>
      <c r="I714" t="s">
        <v>973</v>
      </c>
      <c r="J714" t="s">
        <v>968</v>
      </c>
      <c r="N714" s="134">
        <v>111202022966</v>
      </c>
      <c r="T714" s="17"/>
    </row>
    <row r="715" spans="2:20">
      <c r="B715" t="s">
        <v>408</v>
      </c>
      <c r="C715">
        <v>2025</v>
      </c>
      <c r="D715" s="2" t="s">
        <v>811</v>
      </c>
      <c r="E715" s="12" t="s">
        <v>2930</v>
      </c>
      <c r="H715" t="s">
        <v>1633</v>
      </c>
      <c r="I715" t="s">
        <v>973</v>
      </c>
      <c r="J715" t="s">
        <v>1119</v>
      </c>
      <c r="T715" s="17"/>
    </row>
    <row r="716" spans="2:20">
      <c r="B716" t="s">
        <v>408</v>
      </c>
      <c r="C716">
        <v>2025</v>
      </c>
      <c r="D716" s="2" t="s">
        <v>811</v>
      </c>
      <c r="E716" s="12" t="s">
        <v>2931</v>
      </c>
      <c r="I716" t="s">
        <v>973</v>
      </c>
      <c r="J716" t="s">
        <v>968</v>
      </c>
      <c r="M716" s="156" t="s">
        <v>2862</v>
      </c>
      <c r="N716" s="155" t="s">
        <v>2932</v>
      </c>
      <c r="T716" s="17"/>
    </row>
    <row r="717" spans="2:20">
      <c r="B717" t="s">
        <v>408</v>
      </c>
      <c r="C717">
        <v>2025</v>
      </c>
      <c r="D717" s="2" t="s">
        <v>811</v>
      </c>
      <c r="E717" t="s">
        <v>2933</v>
      </c>
      <c r="H717" t="s">
        <v>1180</v>
      </c>
      <c r="I717" t="s">
        <v>48</v>
      </c>
      <c r="J717" t="s">
        <v>968</v>
      </c>
      <c r="N717" s="159">
        <v>888161967061</v>
      </c>
      <c r="T717" s="17"/>
    </row>
    <row r="718" spans="2:20">
      <c r="B718" t="s">
        <v>408</v>
      </c>
      <c r="C718">
        <v>2025</v>
      </c>
      <c r="D718" s="2" t="s">
        <v>811</v>
      </c>
      <c r="E718" t="s">
        <v>2934</v>
      </c>
      <c r="H718" t="s">
        <v>1180</v>
      </c>
      <c r="I718" t="s">
        <v>48</v>
      </c>
      <c r="J718" t="s">
        <v>968</v>
      </c>
      <c r="M718" s="140" t="s">
        <v>2935</v>
      </c>
      <c r="N718" s="159">
        <v>888382473270</v>
      </c>
      <c r="T718" s="17"/>
    </row>
    <row r="719" spans="2:20">
      <c r="B719" t="s">
        <v>408</v>
      </c>
      <c r="C719">
        <v>2025</v>
      </c>
      <c r="D719" s="2" t="s">
        <v>811</v>
      </c>
      <c r="E719" s="45" t="s">
        <v>2936</v>
      </c>
      <c r="H719" t="s">
        <v>1180</v>
      </c>
      <c r="I719" t="s">
        <v>973</v>
      </c>
      <c r="J719" t="s">
        <v>1119</v>
      </c>
      <c r="N719" s="140">
        <v>143422110012</v>
      </c>
      <c r="T719" s="17"/>
    </row>
    <row r="720" spans="2:20">
      <c r="B720" t="s">
        <v>408</v>
      </c>
      <c r="C720">
        <v>2025</v>
      </c>
      <c r="D720" s="2" t="s">
        <v>811</v>
      </c>
      <c r="E720" s="45" t="s">
        <v>2937</v>
      </c>
      <c r="H720" t="s">
        <v>1180</v>
      </c>
      <c r="I720" t="s">
        <v>973</v>
      </c>
      <c r="J720" t="s">
        <v>1119</v>
      </c>
      <c r="N720" s="163">
        <v>1565492654</v>
      </c>
      <c r="T720" s="17"/>
    </row>
    <row r="721" spans="2:20">
      <c r="B721" t="s">
        <v>408</v>
      </c>
      <c r="C721">
        <v>2025</v>
      </c>
      <c r="D721" s="2" t="s">
        <v>811</v>
      </c>
      <c r="E721" s="45" t="s">
        <v>2937</v>
      </c>
      <c r="H721" t="s">
        <v>1180</v>
      </c>
      <c r="I721" t="s">
        <v>973</v>
      </c>
      <c r="J721" t="s">
        <v>1119</v>
      </c>
      <c r="N721" s="140">
        <v>1539618473</v>
      </c>
      <c r="T721" s="17"/>
    </row>
    <row r="722" spans="2:20">
      <c r="B722" t="s">
        <v>408</v>
      </c>
      <c r="C722">
        <v>2025</v>
      </c>
      <c r="D722" s="2" t="s">
        <v>811</v>
      </c>
      <c r="E722" s="45" t="s">
        <v>2937</v>
      </c>
      <c r="H722" t="s">
        <v>1180</v>
      </c>
      <c r="I722" t="s">
        <v>973</v>
      </c>
      <c r="J722" t="s">
        <v>1119</v>
      </c>
      <c r="N722" s="140">
        <v>1661068516</v>
      </c>
      <c r="T722" s="17"/>
    </row>
    <row r="723" spans="2:20">
      <c r="B723" t="s">
        <v>408</v>
      </c>
      <c r="C723">
        <v>2025</v>
      </c>
      <c r="D723" s="2" t="s">
        <v>811</v>
      </c>
      <c r="E723" s="45" t="s">
        <v>2937</v>
      </c>
      <c r="H723" t="s">
        <v>1180</v>
      </c>
      <c r="I723" t="s">
        <v>973</v>
      </c>
      <c r="J723" t="s">
        <v>1119</v>
      </c>
      <c r="N723" s="140">
        <v>1565493118</v>
      </c>
      <c r="T723" s="17"/>
    </row>
    <row r="724" spans="2:20">
      <c r="B724" t="s">
        <v>408</v>
      </c>
      <c r="C724">
        <v>2025</v>
      </c>
      <c r="D724" s="2" t="s">
        <v>811</v>
      </c>
      <c r="E724" s="45" t="s">
        <v>2937</v>
      </c>
      <c r="H724" t="s">
        <v>1180</v>
      </c>
      <c r="I724" t="s">
        <v>973</v>
      </c>
      <c r="J724" t="s">
        <v>968</v>
      </c>
      <c r="N724" s="140">
        <v>1770277896</v>
      </c>
      <c r="T724" s="17"/>
    </row>
    <row r="725" spans="2:20">
      <c r="B725" t="s">
        <v>408</v>
      </c>
      <c r="C725">
        <v>2025</v>
      </c>
      <c r="D725" s="2" t="s">
        <v>811</v>
      </c>
      <c r="E725" s="45" t="s">
        <v>2937</v>
      </c>
      <c r="H725" t="s">
        <v>1180</v>
      </c>
      <c r="I725" t="s">
        <v>973</v>
      </c>
      <c r="J725" t="s">
        <v>968</v>
      </c>
      <c r="N725" s="63">
        <v>1779138567</v>
      </c>
      <c r="T725" s="17"/>
    </row>
    <row r="726" spans="2:20">
      <c r="B726" t="s">
        <v>408</v>
      </c>
      <c r="C726">
        <v>2025</v>
      </c>
      <c r="D726" s="2" t="s">
        <v>811</v>
      </c>
      <c r="E726" s="45" t="s">
        <v>2938</v>
      </c>
      <c r="H726" t="s">
        <v>1180</v>
      </c>
      <c r="I726" t="s">
        <v>973</v>
      </c>
      <c r="J726" t="s">
        <v>968</v>
      </c>
      <c r="N726" s="163">
        <v>1778767122</v>
      </c>
      <c r="T726" s="17"/>
    </row>
    <row r="727" spans="2:20">
      <c r="B727" t="s">
        <v>408</v>
      </c>
      <c r="C727">
        <v>2025</v>
      </c>
      <c r="D727" s="2" t="s">
        <v>811</v>
      </c>
      <c r="E727" s="12" t="s">
        <v>2939</v>
      </c>
      <c r="H727" t="s">
        <v>1633</v>
      </c>
      <c r="I727" t="s">
        <v>973</v>
      </c>
      <c r="J727" t="s">
        <v>968</v>
      </c>
      <c r="T727" s="17"/>
    </row>
    <row r="728" spans="2:20">
      <c r="B728" t="s">
        <v>408</v>
      </c>
      <c r="C728">
        <v>2025</v>
      </c>
      <c r="D728" s="2" t="s">
        <v>2940</v>
      </c>
      <c r="E728" s="12" t="s">
        <v>2941</v>
      </c>
      <c r="H728" t="s">
        <v>1180</v>
      </c>
      <c r="I728" t="s">
        <v>973</v>
      </c>
      <c r="J728" t="s">
        <v>1119</v>
      </c>
      <c r="N728" s="140">
        <v>1253478001</v>
      </c>
      <c r="T728" s="17"/>
    </row>
    <row r="729" spans="2:20">
      <c r="B729" t="s">
        <v>408</v>
      </c>
      <c r="C729">
        <v>2025</v>
      </c>
      <c r="D729" s="2" t="s">
        <v>2940</v>
      </c>
      <c r="E729" s="12" t="s">
        <v>2942</v>
      </c>
      <c r="H729" t="s">
        <v>1180</v>
      </c>
      <c r="I729" t="s">
        <v>973</v>
      </c>
      <c r="J729" t="s">
        <v>1119</v>
      </c>
      <c r="N729" s="140">
        <v>1253481088</v>
      </c>
      <c r="O729" s="140">
        <v>1253481088</v>
      </c>
      <c r="T729" s="17"/>
    </row>
    <row r="730" spans="2:20">
      <c r="B730" t="s">
        <v>408</v>
      </c>
      <c r="C730">
        <v>2025</v>
      </c>
      <c r="D730" s="2" t="s">
        <v>2940</v>
      </c>
      <c r="E730" s="12" t="s">
        <v>2943</v>
      </c>
      <c r="H730" t="s">
        <v>967</v>
      </c>
      <c r="I730" t="s">
        <v>48</v>
      </c>
      <c r="J730" t="s">
        <v>968</v>
      </c>
      <c r="M730" t="s">
        <v>2944</v>
      </c>
      <c r="T730" s="17"/>
    </row>
    <row r="731" spans="2:20">
      <c r="B731" t="s">
        <v>23</v>
      </c>
      <c r="C731">
        <v>2026</v>
      </c>
      <c r="D731" s="2">
        <v>46174</v>
      </c>
      <c r="E731" t="s">
        <v>2945</v>
      </c>
      <c r="I731" t="s">
        <v>973</v>
      </c>
      <c r="J731" t="s">
        <v>968</v>
      </c>
      <c r="M731" s="135" t="s">
        <v>2946</v>
      </c>
      <c r="N731" s="135" t="s">
        <v>2947</v>
      </c>
      <c r="O731" s="135">
        <v>1709780381</v>
      </c>
      <c r="R731" t="s">
        <v>970</v>
      </c>
      <c r="T731" s="17"/>
    </row>
    <row r="732" spans="2:20">
      <c r="B732" t="s">
        <v>23</v>
      </c>
      <c r="C732">
        <v>2026</v>
      </c>
      <c r="D732" s="2">
        <v>46174</v>
      </c>
      <c r="E732" t="s">
        <v>2948</v>
      </c>
      <c r="I732" t="s">
        <v>973</v>
      </c>
      <c r="J732" t="s">
        <v>968</v>
      </c>
      <c r="M732" s="63" t="s">
        <v>2949</v>
      </c>
      <c r="N732" s="63" t="s">
        <v>2950</v>
      </c>
      <c r="R732" t="s">
        <v>970</v>
      </c>
      <c r="T732" s="17"/>
    </row>
    <row r="733" spans="2:20" ht="27.75">
      <c r="B733" t="s">
        <v>23</v>
      </c>
      <c r="C733">
        <v>2026</v>
      </c>
      <c r="D733" s="2">
        <v>46174</v>
      </c>
      <c r="E733" s="55" t="s">
        <v>2951</v>
      </c>
      <c r="H733" t="s">
        <v>1135</v>
      </c>
      <c r="I733" t="s">
        <v>973</v>
      </c>
      <c r="J733" t="s">
        <v>968</v>
      </c>
      <c r="N733" s="49" t="s">
        <v>2952</v>
      </c>
      <c r="R733" t="s">
        <v>970</v>
      </c>
      <c r="T733" s="17"/>
    </row>
    <row r="734" spans="2:20">
      <c r="B734" t="s">
        <v>23</v>
      </c>
      <c r="C734">
        <v>2026</v>
      </c>
      <c r="D734" s="2">
        <v>46235</v>
      </c>
      <c r="E734" s="12" t="s">
        <v>2953</v>
      </c>
      <c r="H734" t="s">
        <v>1180</v>
      </c>
      <c r="I734" t="s">
        <v>973</v>
      </c>
      <c r="J734" t="s">
        <v>968</v>
      </c>
      <c r="N734" s="140">
        <v>1755556810</v>
      </c>
      <c r="R734" t="s">
        <v>970</v>
      </c>
      <c r="T734" s="17"/>
    </row>
    <row r="735" spans="2:20">
      <c r="B735" t="s">
        <v>23</v>
      </c>
      <c r="C735">
        <v>2026</v>
      </c>
      <c r="D735" s="2">
        <v>46235</v>
      </c>
      <c r="E735" s="12" t="s">
        <v>2954</v>
      </c>
      <c r="H735" t="s">
        <v>1180</v>
      </c>
      <c r="I735" t="s">
        <v>973</v>
      </c>
      <c r="J735" t="s">
        <v>968</v>
      </c>
      <c r="N735" s="140">
        <v>2076211113</v>
      </c>
      <c r="R735" t="s">
        <v>970</v>
      </c>
      <c r="T735" s="17"/>
    </row>
    <row r="736" spans="2:20">
      <c r="B736" t="s">
        <v>23</v>
      </c>
      <c r="C736">
        <v>2026</v>
      </c>
      <c r="D736" s="2">
        <v>46235</v>
      </c>
      <c r="E736" s="12" t="s">
        <v>2955</v>
      </c>
      <c r="H736" t="s">
        <v>1180</v>
      </c>
      <c r="I736" t="s">
        <v>973</v>
      </c>
      <c r="J736" t="s">
        <v>968</v>
      </c>
      <c r="N736" s="140">
        <v>2062341107</v>
      </c>
      <c r="O736" s="140">
        <v>2061208799</v>
      </c>
      <c r="R736" t="s">
        <v>970</v>
      </c>
      <c r="T736" s="17"/>
    </row>
    <row r="737" spans="2:20">
      <c r="B737" t="s">
        <v>23</v>
      </c>
      <c r="C737">
        <v>2026</v>
      </c>
      <c r="D737" s="2">
        <v>46235</v>
      </c>
      <c r="E737" s="74" t="s">
        <v>2956</v>
      </c>
      <c r="H737" t="s">
        <v>967</v>
      </c>
      <c r="I737" t="s">
        <v>48</v>
      </c>
      <c r="J737" t="s">
        <v>968</v>
      </c>
      <c r="M737" t="s">
        <v>2957</v>
      </c>
      <c r="R737" t="s">
        <v>970</v>
      </c>
      <c r="T737" s="17"/>
    </row>
    <row r="738" spans="2:20">
      <c r="B738" t="s">
        <v>23</v>
      </c>
      <c r="C738">
        <v>2026</v>
      </c>
      <c r="D738" s="2">
        <v>46235</v>
      </c>
      <c r="E738" t="s">
        <v>2945</v>
      </c>
      <c r="I738" t="s">
        <v>973</v>
      </c>
      <c r="J738" t="s">
        <v>968</v>
      </c>
      <c r="M738" s="135" t="s">
        <v>2946</v>
      </c>
      <c r="N738" s="135">
        <v>1709917439</v>
      </c>
      <c r="O738" s="135">
        <v>1709780381</v>
      </c>
      <c r="R738" t="s">
        <v>970</v>
      </c>
      <c r="T738" s="17"/>
    </row>
    <row r="739" spans="2:20">
      <c r="B739" t="s">
        <v>23</v>
      </c>
      <c r="C739">
        <v>2026</v>
      </c>
      <c r="D739" s="2">
        <v>46235</v>
      </c>
      <c r="E739" t="s">
        <v>2958</v>
      </c>
      <c r="I739" t="s">
        <v>973</v>
      </c>
      <c r="J739" t="s">
        <v>968</v>
      </c>
      <c r="M739" s="63" t="s">
        <v>2949</v>
      </c>
      <c r="N739" s="63" t="s">
        <v>2950</v>
      </c>
      <c r="R739" t="s">
        <v>970</v>
      </c>
      <c r="T739" s="17"/>
    </row>
    <row r="740" spans="2:20">
      <c r="B740" t="s">
        <v>23</v>
      </c>
      <c r="C740">
        <v>2026</v>
      </c>
      <c r="D740" s="2">
        <v>46235</v>
      </c>
      <c r="E740" s="135" t="s">
        <v>2959</v>
      </c>
      <c r="I740" t="s">
        <v>973</v>
      </c>
      <c r="J740" t="s">
        <v>968</v>
      </c>
      <c r="M740" s="135" t="s">
        <v>2960</v>
      </c>
      <c r="N740" s="135">
        <v>1959422186</v>
      </c>
      <c r="R740" t="s">
        <v>1171</v>
      </c>
      <c r="T740" s="17"/>
    </row>
    <row r="741" spans="2:20">
      <c r="B741" t="s">
        <v>23</v>
      </c>
      <c r="C741">
        <v>2026</v>
      </c>
      <c r="D741" s="2">
        <v>46235</v>
      </c>
      <c r="E741" s="63" t="s">
        <v>2961</v>
      </c>
      <c r="I741" t="s">
        <v>973</v>
      </c>
      <c r="J741" t="s">
        <v>968</v>
      </c>
      <c r="M741" s="164" t="s">
        <v>2670</v>
      </c>
      <c r="N741" s="164" t="s">
        <v>2962</v>
      </c>
      <c r="R741" t="s">
        <v>970</v>
      </c>
      <c r="T741" s="17"/>
    </row>
    <row r="742" spans="2:20">
      <c r="B742" t="s">
        <v>23</v>
      </c>
      <c r="C742">
        <v>2026</v>
      </c>
      <c r="D742" s="2" t="s">
        <v>2963</v>
      </c>
      <c r="E742" s="12" t="s">
        <v>2964</v>
      </c>
      <c r="H742" t="s">
        <v>1180</v>
      </c>
      <c r="I742" t="s">
        <v>48</v>
      </c>
      <c r="J742" t="s">
        <v>968</v>
      </c>
      <c r="M742" s="25" t="s">
        <v>2965</v>
      </c>
      <c r="N742" s="25">
        <v>8882508110953940</v>
      </c>
      <c r="R742" t="s">
        <v>970</v>
      </c>
      <c r="T742" s="17"/>
    </row>
    <row r="743" spans="2:20">
      <c r="B743" t="s">
        <v>23</v>
      </c>
      <c r="C743">
        <v>2026</v>
      </c>
      <c r="D743" s="2" t="s">
        <v>2963</v>
      </c>
      <c r="E743" s="12" t="s">
        <v>2966</v>
      </c>
      <c r="H743" t="s">
        <v>1180</v>
      </c>
      <c r="I743" t="s">
        <v>973</v>
      </c>
      <c r="J743" t="s">
        <v>968</v>
      </c>
      <c r="N743" s="25">
        <v>2088665360</v>
      </c>
      <c r="R743" t="s">
        <v>970</v>
      </c>
      <c r="T743" s="17"/>
    </row>
    <row r="744" spans="2:20">
      <c r="B744" t="s">
        <v>23</v>
      </c>
      <c r="C744">
        <v>2026</v>
      </c>
      <c r="D744" s="2" t="s">
        <v>2967</v>
      </c>
      <c r="E744" s="12" t="s">
        <v>2968</v>
      </c>
      <c r="H744" t="s">
        <v>967</v>
      </c>
      <c r="I744" t="s">
        <v>48</v>
      </c>
      <c r="J744" t="s">
        <v>968</v>
      </c>
      <c r="M744" t="s">
        <v>2969</v>
      </c>
      <c r="R744" t="s">
        <v>970</v>
      </c>
      <c r="T744" s="17"/>
    </row>
    <row r="745" spans="2:20">
      <c r="B745" t="s">
        <v>23</v>
      </c>
      <c r="C745">
        <v>2026</v>
      </c>
      <c r="D745" s="2" t="s">
        <v>2970</v>
      </c>
      <c r="E745" s="12" t="s">
        <v>2971</v>
      </c>
      <c r="I745" t="s">
        <v>973</v>
      </c>
      <c r="J745" t="s">
        <v>1119</v>
      </c>
      <c r="N745" s="165">
        <v>152306240202</v>
      </c>
      <c r="R745" t="s">
        <v>970</v>
      </c>
      <c r="T745" s="17"/>
    </row>
    <row r="746" spans="2:20">
      <c r="B746" t="s">
        <v>23</v>
      </c>
      <c r="C746">
        <v>2026</v>
      </c>
      <c r="D746" s="2" t="s">
        <v>2972</v>
      </c>
      <c r="E746" t="s">
        <v>2973</v>
      </c>
      <c r="I746" t="s">
        <v>973</v>
      </c>
      <c r="J746" t="s">
        <v>968</v>
      </c>
      <c r="M746" s="25" t="s">
        <v>2080</v>
      </c>
      <c r="N746" s="25">
        <v>2077231059</v>
      </c>
      <c r="R746" t="s">
        <v>970</v>
      </c>
      <c r="T746" s="17"/>
    </row>
    <row r="747" spans="2:20">
      <c r="B747" t="s">
        <v>23</v>
      </c>
      <c r="C747">
        <v>2026</v>
      </c>
      <c r="D747" s="2" t="s">
        <v>2972</v>
      </c>
      <c r="E747" t="s">
        <v>2974</v>
      </c>
      <c r="I747" t="s">
        <v>973</v>
      </c>
      <c r="J747" t="s">
        <v>968</v>
      </c>
      <c r="M747" s="63" t="s">
        <v>2975</v>
      </c>
      <c r="N747" s="63">
        <v>2077124569</v>
      </c>
      <c r="R747" t="s">
        <v>970</v>
      </c>
      <c r="T747" s="17"/>
    </row>
    <row r="748" spans="2:20">
      <c r="B748" t="s">
        <v>23</v>
      </c>
      <c r="C748">
        <v>2026</v>
      </c>
      <c r="D748" s="2" t="s">
        <v>2972</v>
      </c>
      <c r="E748" s="25" t="s">
        <v>2976</v>
      </c>
      <c r="H748" t="s">
        <v>1633</v>
      </c>
      <c r="I748" t="s">
        <v>973</v>
      </c>
      <c r="J748" t="s">
        <v>968</v>
      </c>
      <c r="R748" t="s">
        <v>1171</v>
      </c>
      <c r="T748" s="17"/>
    </row>
    <row r="749" spans="2:20">
      <c r="B749" t="s">
        <v>23</v>
      </c>
      <c r="C749">
        <v>2026</v>
      </c>
      <c r="D749" s="2" t="s">
        <v>2972</v>
      </c>
      <c r="E749" s="25" t="s">
        <v>2977</v>
      </c>
      <c r="H749" t="s">
        <v>1633</v>
      </c>
      <c r="I749" t="s">
        <v>973</v>
      </c>
      <c r="J749" t="s">
        <v>968</v>
      </c>
      <c r="R749" t="s">
        <v>1171</v>
      </c>
      <c r="T749" s="17"/>
    </row>
    <row r="750" spans="2:20">
      <c r="B750" t="s">
        <v>23</v>
      </c>
      <c r="C750">
        <v>2026</v>
      </c>
      <c r="D750" s="2" t="s">
        <v>2972</v>
      </c>
      <c r="E750" s="12" t="s">
        <v>2978</v>
      </c>
      <c r="H750" t="s">
        <v>967</v>
      </c>
      <c r="I750" t="s">
        <v>48</v>
      </c>
      <c r="J750" t="s">
        <v>968</v>
      </c>
      <c r="M750" t="s">
        <v>2979</v>
      </c>
      <c r="R750" t="s">
        <v>970</v>
      </c>
      <c r="T750" s="17"/>
    </row>
    <row r="751" spans="2:20">
      <c r="B751" t="s">
        <v>23</v>
      </c>
      <c r="C751">
        <v>2026</v>
      </c>
      <c r="D751" s="2" t="s">
        <v>2980</v>
      </c>
      <c r="E751" s="25" t="s">
        <v>2981</v>
      </c>
      <c r="H751" t="s">
        <v>1633</v>
      </c>
      <c r="I751" t="s">
        <v>973</v>
      </c>
      <c r="J751" t="s">
        <v>2842</v>
      </c>
      <c r="R751" t="s">
        <v>1171</v>
      </c>
      <c r="T751" s="17"/>
    </row>
    <row r="752" spans="2:20">
      <c r="B752" t="s">
        <v>23</v>
      </c>
      <c r="C752">
        <v>2026</v>
      </c>
      <c r="D752" s="2" t="s">
        <v>2980</v>
      </c>
      <c r="E752" t="s">
        <v>2982</v>
      </c>
      <c r="H752" t="s">
        <v>1633</v>
      </c>
      <c r="I752" t="s">
        <v>973</v>
      </c>
      <c r="J752" t="s">
        <v>968</v>
      </c>
      <c r="M752" t="s">
        <v>2983</v>
      </c>
      <c r="N752" s="64">
        <v>2097148164</v>
      </c>
      <c r="O752">
        <v>2097025304</v>
      </c>
      <c r="R752" t="s">
        <v>970</v>
      </c>
      <c r="T752" s="17"/>
    </row>
    <row r="753" spans="2:20">
      <c r="B753" t="s">
        <v>23</v>
      </c>
      <c r="C753">
        <v>2026</v>
      </c>
      <c r="D753" s="2" t="s">
        <v>2980</v>
      </c>
      <c r="E753" t="s">
        <v>2984</v>
      </c>
      <c r="H753" t="s">
        <v>1633</v>
      </c>
      <c r="I753" t="s">
        <v>973</v>
      </c>
      <c r="J753" t="s">
        <v>968</v>
      </c>
      <c r="M753" t="s">
        <v>2985</v>
      </c>
      <c r="R753" t="s">
        <v>970</v>
      </c>
      <c r="T753" s="17"/>
    </row>
    <row r="754" spans="2:20">
      <c r="B754" t="s">
        <v>23</v>
      </c>
      <c r="C754">
        <v>2026</v>
      </c>
      <c r="D754" s="2" t="s">
        <v>2980</v>
      </c>
      <c r="E754" s="12" t="s">
        <v>2986</v>
      </c>
      <c r="H754" t="s">
        <v>1633</v>
      </c>
      <c r="I754" t="s">
        <v>973</v>
      </c>
      <c r="J754" t="s">
        <v>968</v>
      </c>
      <c r="M754" s="43" t="s">
        <v>2987</v>
      </c>
      <c r="R754" t="s">
        <v>1171</v>
      </c>
      <c r="T754" s="17"/>
    </row>
    <row r="755" spans="2:20">
      <c r="B755" t="s">
        <v>23</v>
      </c>
      <c r="C755">
        <v>2026</v>
      </c>
      <c r="D755" s="2" t="s">
        <v>2988</v>
      </c>
      <c r="E755" s="12" t="s">
        <v>2989</v>
      </c>
      <c r="H755" t="s">
        <v>1180</v>
      </c>
      <c r="I755" t="s">
        <v>48</v>
      </c>
      <c r="J755" t="s">
        <v>968</v>
      </c>
      <c r="M755" s="49" t="s">
        <v>2990</v>
      </c>
      <c r="N755" s="166">
        <v>888091118774</v>
      </c>
      <c r="R755" t="s">
        <v>970</v>
      </c>
      <c r="T755" s="17"/>
    </row>
    <row r="756" spans="2:20">
      <c r="B756" t="s">
        <v>23</v>
      </c>
      <c r="C756">
        <v>2026</v>
      </c>
      <c r="D756" s="2" t="s">
        <v>2988</v>
      </c>
      <c r="E756" s="12" t="s">
        <v>2991</v>
      </c>
      <c r="H756" t="s">
        <v>1180</v>
      </c>
      <c r="I756" t="s">
        <v>48</v>
      </c>
      <c r="J756" t="s">
        <v>968</v>
      </c>
      <c r="M756" s="49" t="s">
        <v>2992</v>
      </c>
      <c r="N756" s="166">
        <v>888169350455</v>
      </c>
      <c r="R756" t="s">
        <v>970</v>
      </c>
      <c r="T756" s="17"/>
    </row>
    <row r="757" spans="2:20">
      <c r="B757" t="s">
        <v>23</v>
      </c>
      <c r="C757">
        <v>2026</v>
      </c>
      <c r="D757" s="2" t="s">
        <v>2988</v>
      </c>
      <c r="E757" s="12" t="s">
        <v>2993</v>
      </c>
      <c r="H757" t="s">
        <v>1180</v>
      </c>
      <c r="I757" t="s">
        <v>48</v>
      </c>
      <c r="J757" t="s">
        <v>968</v>
      </c>
      <c r="M757" s="140" t="s">
        <v>2994</v>
      </c>
      <c r="N757" s="166">
        <v>888166898239</v>
      </c>
      <c r="R757" t="s">
        <v>970</v>
      </c>
      <c r="T757" s="17"/>
    </row>
    <row r="758" spans="2:20">
      <c r="B758" t="s">
        <v>23</v>
      </c>
      <c r="C758">
        <v>2026</v>
      </c>
      <c r="D758" s="2" t="s">
        <v>2988</v>
      </c>
      <c r="E758" s="12" t="s">
        <v>2995</v>
      </c>
      <c r="H758" t="s">
        <v>1180</v>
      </c>
      <c r="I758" t="s">
        <v>48</v>
      </c>
      <c r="J758" t="s">
        <v>968</v>
      </c>
      <c r="M758" s="140" t="s">
        <v>2996</v>
      </c>
      <c r="N758" s="166">
        <v>888387455543</v>
      </c>
      <c r="R758" t="s">
        <v>970</v>
      </c>
      <c r="T758" s="17"/>
    </row>
    <row r="759" spans="2:20">
      <c r="B759" t="s">
        <v>23</v>
      </c>
      <c r="C759">
        <v>2026</v>
      </c>
      <c r="D759" s="2" t="s">
        <v>2988</v>
      </c>
      <c r="E759" s="12" t="s">
        <v>2997</v>
      </c>
      <c r="H759" t="s">
        <v>1180</v>
      </c>
      <c r="I759" t="s">
        <v>973</v>
      </c>
      <c r="J759" t="s">
        <v>968</v>
      </c>
      <c r="M759" s="140" t="s">
        <v>2998</v>
      </c>
      <c r="N759" s="25">
        <v>1915054246</v>
      </c>
      <c r="R759" t="s">
        <v>970</v>
      </c>
      <c r="T759" s="17"/>
    </row>
    <row r="760" spans="2:20">
      <c r="B760" t="s">
        <v>96</v>
      </c>
      <c r="C760">
        <v>2026</v>
      </c>
      <c r="D760" s="2">
        <v>46056</v>
      </c>
      <c r="E760" s="12" t="s">
        <v>2999</v>
      </c>
      <c r="H760" t="s">
        <v>1135</v>
      </c>
      <c r="I760" t="s">
        <v>973</v>
      </c>
      <c r="J760" t="s">
        <v>968</v>
      </c>
      <c r="M760" t="s">
        <v>3000</v>
      </c>
      <c r="N760" s="61">
        <v>1771330781</v>
      </c>
      <c r="R760" t="s">
        <v>970</v>
      </c>
      <c r="T760" s="17"/>
    </row>
    <row r="761" spans="2:20">
      <c r="B761" t="s">
        <v>96</v>
      </c>
      <c r="C761">
        <v>2026</v>
      </c>
      <c r="D761" s="2">
        <v>46058</v>
      </c>
      <c r="E761" s="12" t="s">
        <v>3001</v>
      </c>
      <c r="H761" t="s">
        <v>1364</v>
      </c>
      <c r="I761" t="s">
        <v>48</v>
      </c>
      <c r="J761" t="s">
        <v>968</v>
      </c>
      <c r="M761" t="s">
        <v>3002</v>
      </c>
      <c r="N761" s="137" t="s">
        <v>3003</v>
      </c>
      <c r="R761" t="s">
        <v>970</v>
      </c>
      <c r="T761" s="17"/>
    </row>
    <row r="762" spans="2:20">
      <c r="B762" t="s">
        <v>96</v>
      </c>
      <c r="C762">
        <v>2026</v>
      </c>
      <c r="D762" s="2">
        <v>46060</v>
      </c>
      <c r="E762" s="12" t="s">
        <v>3004</v>
      </c>
      <c r="H762" t="s">
        <v>1633</v>
      </c>
      <c r="I762" t="s">
        <v>973</v>
      </c>
      <c r="J762" t="s">
        <v>968</v>
      </c>
      <c r="M762" s="43" t="s">
        <v>3005</v>
      </c>
      <c r="R762" t="s">
        <v>970</v>
      </c>
      <c r="T762" s="17"/>
    </row>
    <row r="763" spans="2:20">
      <c r="B763" t="s">
        <v>96</v>
      </c>
      <c r="C763">
        <v>2026</v>
      </c>
      <c r="D763" s="2">
        <v>46064</v>
      </c>
      <c r="E763" t="s">
        <v>3006</v>
      </c>
      <c r="H763" t="s">
        <v>967</v>
      </c>
      <c r="I763" t="s">
        <v>48</v>
      </c>
      <c r="J763" t="s">
        <v>968</v>
      </c>
      <c r="R763" t="s">
        <v>1171</v>
      </c>
      <c r="S763" t="s">
        <v>3007</v>
      </c>
      <c r="T763" s="17"/>
    </row>
    <row r="764" spans="2:20" ht="30.75">
      <c r="B764" t="s">
        <v>96</v>
      </c>
      <c r="C764">
        <v>2026</v>
      </c>
      <c r="D764" s="2">
        <v>46065</v>
      </c>
      <c r="E764" s="44" t="s">
        <v>3008</v>
      </c>
      <c r="H764" t="s">
        <v>1633</v>
      </c>
      <c r="I764" t="s">
        <v>973</v>
      </c>
      <c r="J764" t="s">
        <v>968</v>
      </c>
      <c r="M764" s="43" t="s">
        <v>3009</v>
      </c>
      <c r="R764" t="s">
        <v>970</v>
      </c>
      <c r="T764" s="17"/>
    </row>
    <row r="765" spans="2:20">
      <c r="B765" t="s">
        <v>96</v>
      </c>
      <c r="C765">
        <v>2026</v>
      </c>
      <c r="D765" s="2">
        <v>46066</v>
      </c>
      <c r="E765" t="s">
        <v>3010</v>
      </c>
      <c r="H765" t="s">
        <v>967</v>
      </c>
      <c r="I765" t="s">
        <v>48</v>
      </c>
      <c r="J765" t="s">
        <v>968</v>
      </c>
      <c r="M765" s="43" t="s">
        <v>3011</v>
      </c>
      <c r="R765" t="s">
        <v>1171</v>
      </c>
      <c r="T765" s="17"/>
    </row>
    <row r="766" spans="2:20">
      <c r="B766" t="s">
        <v>96</v>
      </c>
      <c r="C766">
        <v>2026</v>
      </c>
      <c r="D766" s="2">
        <v>46066</v>
      </c>
      <c r="E766" s="12" t="s">
        <v>3012</v>
      </c>
      <c r="I766" t="s">
        <v>973</v>
      </c>
      <c r="J766" t="s">
        <v>3013</v>
      </c>
      <c r="R766" t="s">
        <v>970</v>
      </c>
      <c r="T766" s="17"/>
    </row>
    <row r="767" spans="2:20">
      <c r="B767" t="s">
        <v>96</v>
      </c>
      <c r="C767">
        <v>2026</v>
      </c>
      <c r="D767" s="2">
        <v>46073</v>
      </c>
      <c r="E767" s="12" t="s">
        <v>3014</v>
      </c>
      <c r="H767" t="s">
        <v>967</v>
      </c>
      <c r="I767" t="s">
        <v>48</v>
      </c>
      <c r="J767" t="s">
        <v>968</v>
      </c>
      <c r="R767" t="s">
        <v>1171</v>
      </c>
      <c r="T767" s="17"/>
    </row>
    <row r="768" spans="2:20">
      <c r="B768" t="s">
        <v>96</v>
      </c>
      <c r="C768">
        <v>2026</v>
      </c>
      <c r="D768" s="2">
        <v>46076</v>
      </c>
      <c r="E768" s="12" t="s">
        <v>3015</v>
      </c>
      <c r="H768" t="s">
        <v>1180</v>
      </c>
      <c r="I768" t="s">
        <v>973</v>
      </c>
      <c r="J768" t="s">
        <v>968</v>
      </c>
      <c r="M768" t="s">
        <v>3016</v>
      </c>
      <c r="R768" t="s">
        <v>970</v>
      </c>
      <c r="T768" s="17"/>
    </row>
    <row r="769" spans="2:20">
      <c r="B769" t="s">
        <v>96</v>
      </c>
      <c r="C769">
        <v>2026</v>
      </c>
      <c r="D769" s="56">
        <v>46079</v>
      </c>
      <c r="E769" t="s">
        <v>3017</v>
      </c>
      <c r="H769" t="s">
        <v>1633</v>
      </c>
      <c r="I769" t="s">
        <v>973</v>
      </c>
      <c r="J769" t="s">
        <v>968</v>
      </c>
      <c r="M769" t="s">
        <v>3018</v>
      </c>
      <c r="R769" t="s">
        <v>970</v>
      </c>
      <c r="T769" s="17"/>
    </row>
    <row r="770" spans="2:20">
      <c r="B770" t="s">
        <v>96</v>
      </c>
      <c r="C770">
        <v>2026</v>
      </c>
      <c r="D770" s="56">
        <v>46079</v>
      </c>
      <c r="E770" s="62" t="s">
        <v>3019</v>
      </c>
      <c r="I770" t="s">
        <v>48</v>
      </c>
      <c r="J770" t="s">
        <v>968</v>
      </c>
      <c r="R770" t="s">
        <v>970</v>
      </c>
      <c r="T770" s="17"/>
    </row>
    <row r="771" spans="2:20">
      <c r="B771" t="s">
        <v>96</v>
      </c>
      <c r="C771">
        <v>2026</v>
      </c>
      <c r="D771" s="56">
        <v>46079</v>
      </c>
      <c r="E771" s="62" t="s">
        <v>3020</v>
      </c>
      <c r="I771" t="s">
        <v>973</v>
      </c>
      <c r="J771" t="s">
        <v>968</v>
      </c>
      <c r="R771" t="s">
        <v>970</v>
      </c>
      <c r="T771" s="17"/>
    </row>
    <row r="772" spans="2:20">
      <c r="B772" t="s">
        <v>144</v>
      </c>
      <c r="C772">
        <v>2026</v>
      </c>
      <c r="D772" s="56">
        <v>46084</v>
      </c>
      <c r="E772" s="12" t="s">
        <v>3021</v>
      </c>
      <c r="H772" t="s">
        <v>967</v>
      </c>
      <c r="I772" t="s">
        <v>48</v>
      </c>
      <c r="J772" t="s">
        <v>968</v>
      </c>
      <c r="M772" t="s">
        <v>3022</v>
      </c>
      <c r="R772" t="s">
        <v>1171</v>
      </c>
      <c r="T772" s="17"/>
    </row>
    <row r="773" spans="2:20">
      <c r="B773" t="s">
        <v>144</v>
      </c>
      <c r="C773">
        <v>2026</v>
      </c>
      <c r="D773" s="56">
        <v>46084</v>
      </c>
      <c r="E773" s="12" t="s">
        <v>3023</v>
      </c>
      <c r="H773" t="s">
        <v>1633</v>
      </c>
      <c r="I773" t="s">
        <v>973</v>
      </c>
      <c r="J773" t="s">
        <v>968</v>
      </c>
      <c r="M773" t="s">
        <v>3024</v>
      </c>
      <c r="R773" t="s">
        <v>970</v>
      </c>
      <c r="T773" s="17"/>
    </row>
    <row r="774" spans="2:20">
      <c r="B774" t="s">
        <v>144</v>
      </c>
      <c r="C774">
        <v>2026</v>
      </c>
      <c r="D774" s="56">
        <v>46115</v>
      </c>
      <c r="E774" s="12" t="s">
        <v>3025</v>
      </c>
      <c r="H774" t="s">
        <v>1180</v>
      </c>
      <c r="I774" t="s">
        <v>973</v>
      </c>
      <c r="J774" t="s">
        <v>968</v>
      </c>
      <c r="M774" s="167" t="s">
        <v>3026</v>
      </c>
      <c r="N774" s="167">
        <v>1780953837</v>
      </c>
      <c r="O774" s="167" t="s">
        <v>3027</v>
      </c>
      <c r="R774" t="s">
        <v>970</v>
      </c>
      <c r="T774" s="17"/>
    </row>
    <row r="775" spans="2:20">
      <c r="B775" t="s">
        <v>144</v>
      </c>
      <c r="C775">
        <v>2026</v>
      </c>
      <c r="D775" s="56">
        <v>46115</v>
      </c>
      <c r="E775" s="12" t="s">
        <v>3028</v>
      </c>
      <c r="H775" t="s">
        <v>1180</v>
      </c>
      <c r="I775" t="s">
        <v>973</v>
      </c>
      <c r="J775" t="s">
        <v>968</v>
      </c>
      <c r="N775" s="168">
        <v>1782011091</v>
      </c>
      <c r="R775" t="s">
        <v>970</v>
      </c>
      <c r="T775" s="17"/>
    </row>
    <row r="776" spans="2:20">
      <c r="B776" t="s">
        <v>144</v>
      </c>
      <c r="C776">
        <v>2026</v>
      </c>
      <c r="D776" s="56">
        <v>46145</v>
      </c>
      <c r="E776" s="74" t="s">
        <v>3029</v>
      </c>
      <c r="I776" t="s">
        <v>973</v>
      </c>
      <c r="J776" t="s">
        <v>3030</v>
      </c>
      <c r="R776" t="s">
        <v>970</v>
      </c>
      <c r="T776" s="17"/>
    </row>
    <row r="777" spans="2:20">
      <c r="B777" t="s">
        <v>144</v>
      </c>
      <c r="C777">
        <v>2026</v>
      </c>
      <c r="D777" s="56">
        <v>46145</v>
      </c>
      <c r="E777" s="12" t="s">
        <v>3031</v>
      </c>
      <c r="I777" t="s">
        <v>973</v>
      </c>
      <c r="J777" t="s">
        <v>3030</v>
      </c>
      <c r="R777" t="s">
        <v>970</v>
      </c>
      <c r="T777" s="17"/>
    </row>
    <row r="778" spans="2:20">
      <c r="B778" t="s">
        <v>144</v>
      </c>
      <c r="C778">
        <v>2026</v>
      </c>
      <c r="D778" s="56">
        <v>46145</v>
      </c>
      <c r="E778" s="12" t="s">
        <v>3032</v>
      </c>
      <c r="H778" t="s">
        <v>967</v>
      </c>
      <c r="I778" t="s">
        <v>48</v>
      </c>
      <c r="J778" t="s">
        <v>968</v>
      </c>
      <c r="M778" s="169" t="s">
        <v>3033</v>
      </c>
      <c r="R778" t="s">
        <v>1171</v>
      </c>
      <c r="T778" s="17"/>
    </row>
    <row r="779" spans="2:20">
      <c r="B779" t="s">
        <v>144</v>
      </c>
      <c r="C779">
        <v>2026</v>
      </c>
      <c r="D779" s="56">
        <v>46176</v>
      </c>
      <c r="E779" s="12" t="s">
        <v>3034</v>
      </c>
      <c r="H779" t="s">
        <v>967</v>
      </c>
      <c r="I779" t="s">
        <v>48</v>
      </c>
      <c r="J779" t="s">
        <v>968</v>
      </c>
      <c r="R779" t="s">
        <v>1171</v>
      </c>
      <c r="T779" s="17"/>
    </row>
    <row r="780" spans="2:20">
      <c r="B780" t="s">
        <v>144</v>
      </c>
      <c r="C780">
        <v>2026</v>
      </c>
      <c r="D780" s="56">
        <v>46176</v>
      </c>
      <c r="E780" s="12" t="s">
        <v>3035</v>
      </c>
      <c r="H780" t="s">
        <v>1633</v>
      </c>
      <c r="I780" t="s">
        <v>973</v>
      </c>
      <c r="J780" t="s">
        <v>968</v>
      </c>
      <c r="M780" t="s">
        <v>3036</v>
      </c>
      <c r="R780" t="s">
        <v>1171</v>
      </c>
      <c r="T780" s="17"/>
    </row>
    <row r="781" spans="2:20">
      <c r="B781" t="s">
        <v>144</v>
      </c>
      <c r="C781">
        <v>2026</v>
      </c>
      <c r="D781" s="56">
        <v>46176</v>
      </c>
      <c r="E781" s="12" t="s">
        <v>3037</v>
      </c>
      <c r="H781" t="s">
        <v>1633</v>
      </c>
      <c r="I781" t="s">
        <v>973</v>
      </c>
      <c r="J781" t="s">
        <v>968</v>
      </c>
      <c r="M781" t="s">
        <v>3038</v>
      </c>
      <c r="N781" s="64">
        <v>2097986139</v>
      </c>
      <c r="O781">
        <v>2097990682</v>
      </c>
      <c r="R781" t="s">
        <v>970</v>
      </c>
      <c r="T781" s="17"/>
    </row>
    <row r="782" spans="2:20">
      <c r="B782" t="s">
        <v>144</v>
      </c>
      <c r="C782">
        <v>2026</v>
      </c>
      <c r="D782" s="56">
        <v>46176</v>
      </c>
      <c r="E782" s="12" t="s">
        <v>3039</v>
      </c>
      <c r="H782" t="s">
        <v>1633</v>
      </c>
      <c r="I782" t="s">
        <v>973</v>
      </c>
      <c r="J782" t="s">
        <v>968</v>
      </c>
      <c r="R782" t="s">
        <v>1171</v>
      </c>
      <c r="T782" s="17"/>
    </row>
    <row r="783" spans="2:20">
      <c r="B783" t="s">
        <v>144</v>
      </c>
      <c r="C783">
        <v>2026</v>
      </c>
      <c r="D783" s="56">
        <v>46176</v>
      </c>
      <c r="E783" s="12" t="s">
        <v>3040</v>
      </c>
      <c r="H783" t="s">
        <v>1633</v>
      </c>
      <c r="I783" t="s">
        <v>973</v>
      </c>
      <c r="J783" t="s">
        <v>968</v>
      </c>
      <c r="R783" t="s">
        <v>1171</v>
      </c>
      <c r="T783" s="17"/>
    </row>
    <row r="784" spans="2:20">
      <c r="B784" t="s">
        <v>144</v>
      </c>
      <c r="C784">
        <v>2026</v>
      </c>
      <c r="D784" s="56">
        <v>46176</v>
      </c>
      <c r="E784" s="12" t="s">
        <v>3041</v>
      </c>
      <c r="H784" t="s">
        <v>1633</v>
      </c>
      <c r="I784" t="s">
        <v>973</v>
      </c>
      <c r="J784" t="s">
        <v>968</v>
      </c>
      <c r="R784" t="s">
        <v>1171</v>
      </c>
      <c r="T784" s="17"/>
    </row>
    <row r="785" spans="2:20">
      <c r="B785" t="s">
        <v>144</v>
      </c>
      <c r="C785">
        <v>2026</v>
      </c>
      <c r="D785" s="56">
        <v>46176</v>
      </c>
      <c r="E785" s="12" t="s">
        <v>3042</v>
      </c>
      <c r="H785" t="s">
        <v>1633</v>
      </c>
      <c r="I785" t="s">
        <v>973</v>
      </c>
      <c r="J785" t="s">
        <v>968</v>
      </c>
      <c r="R785" t="s">
        <v>1171</v>
      </c>
      <c r="T785" s="17"/>
    </row>
    <row r="786" spans="2:20">
      <c r="B786" t="s">
        <v>144</v>
      </c>
      <c r="C786">
        <v>2026</v>
      </c>
      <c r="D786" s="56">
        <v>46176</v>
      </c>
      <c r="E786" s="12" t="s">
        <v>3043</v>
      </c>
      <c r="H786" t="s">
        <v>1633</v>
      </c>
      <c r="I786" t="s">
        <v>973</v>
      </c>
      <c r="J786" t="s">
        <v>968</v>
      </c>
      <c r="R786" t="s">
        <v>1171</v>
      </c>
      <c r="T786" s="17"/>
    </row>
    <row r="787" spans="2:20">
      <c r="B787" t="s">
        <v>144</v>
      </c>
      <c r="C787">
        <v>2026</v>
      </c>
      <c r="D787" s="56">
        <v>46298</v>
      </c>
      <c r="E787" s="12" t="s">
        <v>3044</v>
      </c>
      <c r="H787" t="s">
        <v>1633</v>
      </c>
      <c r="I787" t="s">
        <v>973</v>
      </c>
      <c r="J787" t="s">
        <v>968</v>
      </c>
      <c r="M787" t="s">
        <v>3045</v>
      </c>
      <c r="T787" s="17"/>
    </row>
    <row r="788" spans="2:20">
      <c r="B788" t="s">
        <v>144</v>
      </c>
      <c r="C788">
        <v>2026</v>
      </c>
      <c r="D788" s="56">
        <v>46298</v>
      </c>
      <c r="E788" s="12" t="s">
        <v>3046</v>
      </c>
      <c r="H788" t="s">
        <v>1633</v>
      </c>
      <c r="I788" t="s">
        <v>973</v>
      </c>
      <c r="J788" t="s">
        <v>2928</v>
      </c>
      <c r="T788" s="17"/>
    </row>
    <row r="789" spans="2:20">
      <c r="B789" t="s">
        <v>144</v>
      </c>
      <c r="C789">
        <v>2026</v>
      </c>
      <c r="D789" s="56">
        <v>46298</v>
      </c>
      <c r="E789" s="12" t="s">
        <v>3047</v>
      </c>
      <c r="H789" t="s">
        <v>1633</v>
      </c>
      <c r="I789" t="s">
        <v>973</v>
      </c>
      <c r="J789" t="s">
        <v>2928</v>
      </c>
      <c r="T789" s="17"/>
    </row>
    <row r="790" spans="2:20">
      <c r="B790" t="s">
        <v>144</v>
      </c>
      <c r="C790">
        <v>2026</v>
      </c>
      <c r="D790" s="56">
        <v>46298</v>
      </c>
      <c r="E790" s="74" t="s">
        <v>3048</v>
      </c>
      <c r="H790" t="s">
        <v>1633</v>
      </c>
      <c r="I790" t="s">
        <v>973</v>
      </c>
      <c r="J790" t="s">
        <v>1119</v>
      </c>
      <c r="T790" s="17"/>
    </row>
    <row r="791" spans="2:20">
      <c r="B791" t="s">
        <v>144</v>
      </c>
      <c r="C791">
        <v>2026</v>
      </c>
      <c r="D791" s="56">
        <v>46359</v>
      </c>
      <c r="E791" s="12" t="s">
        <v>3049</v>
      </c>
      <c r="H791" t="s">
        <v>1633</v>
      </c>
      <c r="I791" t="s">
        <v>973</v>
      </c>
      <c r="J791" t="s">
        <v>968</v>
      </c>
      <c r="M791" t="s">
        <v>3050</v>
      </c>
      <c r="T791" s="17"/>
    </row>
    <row r="792" spans="2:20">
      <c r="B792" t="s">
        <v>144</v>
      </c>
      <c r="C792">
        <v>2026</v>
      </c>
      <c r="D792" s="56" t="s">
        <v>3051</v>
      </c>
      <c r="E792" s="12" t="s">
        <v>3052</v>
      </c>
      <c r="I792" t="s">
        <v>973</v>
      </c>
      <c r="J792" t="s">
        <v>968</v>
      </c>
      <c r="T792" s="17"/>
    </row>
    <row r="793" spans="2:20">
      <c r="B793" t="s">
        <v>144</v>
      </c>
      <c r="C793">
        <v>2026</v>
      </c>
      <c r="D793" s="56" t="s">
        <v>3053</v>
      </c>
      <c r="E793" s="12" t="s">
        <v>3054</v>
      </c>
      <c r="H793" t="s">
        <v>1633</v>
      </c>
      <c r="I793" t="s">
        <v>973</v>
      </c>
      <c r="J793" t="s">
        <v>1119</v>
      </c>
      <c r="T793" s="17"/>
    </row>
    <row r="794" spans="2:20">
      <c r="B794" t="s">
        <v>144</v>
      </c>
      <c r="C794">
        <v>2026</v>
      </c>
      <c r="D794" s="56" t="s">
        <v>3053</v>
      </c>
      <c r="E794" s="12" t="s">
        <v>3055</v>
      </c>
      <c r="H794" t="s">
        <v>1633</v>
      </c>
      <c r="I794" t="s">
        <v>973</v>
      </c>
      <c r="J794" t="s">
        <v>1119</v>
      </c>
      <c r="T794" s="17"/>
    </row>
    <row r="795" spans="2:20">
      <c r="B795" t="s">
        <v>183</v>
      </c>
      <c r="C795">
        <v>2026</v>
      </c>
      <c r="D795" s="2">
        <v>46026</v>
      </c>
      <c r="E795" t="s">
        <v>3056</v>
      </c>
      <c r="H795" t="s">
        <v>985</v>
      </c>
      <c r="I795" t="s">
        <v>48</v>
      </c>
      <c r="J795" t="s">
        <v>968</v>
      </c>
      <c r="M795" s="43" t="s">
        <v>3057</v>
      </c>
      <c r="T795" s="17"/>
    </row>
    <row r="796" spans="2:20">
      <c r="B796" t="s">
        <v>183</v>
      </c>
      <c r="C796">
        <v>2026</v>
      </c>
      <c r="D796" s="2">
        <v>46177</v>
      </c>
      <c r="E796" t="s">
        <v>3058</v>
      </c>
      <c r="H796" t="s">
        <v>1180</v>
      </c>
      <c r="I796" t="s">
        <v>973</v>
      </c>
      <c r="J796" t="s">
        <v>1119</v>
      </c>
      <c r="N796" s="140">
        <v>1766542801</v>
      </c>
      <c r="T796" s="17"/>
    </row>
    <row r="797" spans="2:20">
      <c r="B797" t="s">
        <v>183</v>
      </c>
      <c r="C797">
        <v>2026</v>
      </c>
      <c r="D797" s="2">
        <v>46177</v>
      </c>
      <c r="E797" t="s">
        <v>3058</v>
      </c>
      <c r="H797" t="s">
        <v>1180</v>
      </c>
      <c r="I797" t="s">
        <v>973</v>
      </c>
      <c r="J797" t="s">
        <v>1119</v>
      </c>
      <c r="N797" s="25">
        <v>2020881708</v>
      </c>
      <c r="T797" s="17"/>
    </row>
    <row r="798" spans="2:20">
      <c r="B798" t="s">
        <v>183</v>
      </c>
      <c r="C798">
        <v>2026</v>
      </c>
      <c r="D798" s="2">
        <v>46177</v>
      </c>
      <c r="E798" t="s">
        <v>3059</v>
      </c>
      <c r="H798" t="s">
        <v>1180</v>
      </c>
      <c r="I798" t="s">
        <v>973</v>
      </c>
      <c r="J798" t="s">
        <v>1119</v>
      </c>
      <c r="N798" s="140">
        <v>1766542461</v>
      </c>
      <c r="T798" s="17"/>
    </row>
    <row r="799" spans="2:20">
      <c r="B799" t="s">
        <v>183</v>
      </c>
      <c r="C799">
        <v>2026</v>
      </c>
      <c r="D799" s="2">
        <v>46177</v>
      </c>
      <c r="E799" t="s">
        <v>3059</v>
      </c>
      <c r="H799" t="s">
        <v>1180</v>
      </c>
      <c r="I799" t="s">
        <v>973</v>
      </c>
      <c r="J799" t="s">
        <v>1119</v>
      </c>
      <c r="N799" s="140">
        <v>1257635285</v>
      </c>
      <c r="T799" s="17"/>
    </row>
    <row r="800" spans="2:20">
      <c r="B800" t="s">
        <v>183</v>
      </c>
      <c r="C800">
        <v>2026</v>
      </c>
      <c r="D800" s="2">
        <v>46330</v>
      </c>
      <c r="E800" s="12" t="s">
        <v>3060</v>
      </c>
      <c r="H800" t="s">
        <v>1180</v>
      </c>
      <c r="I800" t="s">
        <v>48</v>
      </c>
      <c r="J800" t="s">
        <v>968</v>
      </c>
      <c r="T800" s="17"/>
    </row>
    <row r="801" spans="2:20">
      <c r="B801" t="s">
        <v>183</v>
      </c>
      <c r="C801">
        <v>2026</v>
      </c>
      <c r="D801" s="2" t="s">
        <v>3061</v>
      </c>
      <c r="E801" t="s">
        <v>3062</v>
      </c>
      <c r="H801" t="s">
        <v>1180</v>
      </c>
      <c r="I801" t="s">
        <v>48</v>
      </c>
      <c r="J801" t="s">
        <v>968</v>
      </c>
      <c r="M801" s="140" t="s">
        <v>3063</v>
      </c>
      <c r="N801" s="140">
        <v>888254042006</v>
      </c>
      <c r="T801" s="17"/>
    </row>
    <row r="802" spans="2:20">
      <c r="B802" t="s">
        <v>183</v>
      </c>
      <c r="C802">
        <v>2026</v>
      </c>
      <c r="D802" s="2" t="s">
        <v>3061</v>
      </c>
      <c r="E802" t="s">
        <v>3064</v>
      </c>
      <c r="H802" t="s">
        <v>1180</v>
      </c>
      <c r="I802" t="s">
        <v>48</v>
      </c>
      <c r="J802" t="s">
        <v>968</v>
      </c>
      <c r="M802" s="25" t="s">
        <v>3065</v>
      </c>
      <c r="N802" s="25">
        <v>888254042047</v>
      </c>
      <c r="T802" s="17"/>
    </row>
    <row r="803" spans="2:20">
      <c r="B803" t="s">
        <v>183</v>
      </c>
      <c r="C803">
        <v>2026</v>
      </c>
      <c r="D803" s="2" t="s">
        <v>3066</v>
      </c>
      <c r="E803" s="12" t="s">
        <v>3067</v>
      </c>
      <c r="H803" t="s">
        <v>1364</v>
      </c>
      <c r="I803" t="s">
        <v>48</v>
      </c>
      <c r="J803" t="s">
        <v>968</v>
      </c>
      <c r="M803" s="25" t="s">
        <v>3068</v>
      </c>
      <c r="N803" s="25">
        <v>888290794716</v>
      </c>
      <c r="T803" s="17"/>
    </row>
    <row r="804" spans="2:20">
      <c r="B804" t="s">
        <v>183</v>
      </c>
      <c r="C804">
        <v>2026</v>
      </c>
      <c r="D804" s="2" t="s">
        <v>3069</v>
      </c>
      <c r="E804" s="12" t="s">
        <v>3070</v>
      </c>
      <c r="H804" t="s">
        <v>1180</v>
      </c>
      <c r="I804" t="s">
        <v>48</v>
      </c>
      <c r="J804" t="s">
        <v>968</v>
      </c>
      <c r="M804" s="140" t="s">
        <v>3071</v>
      </c>
      <c r="N804" s="140">
        <v>888355406221</v>
      </c>
      <c r="T804" s="17"/>
    </row>
    <row r="805" spans="2:20">
      <c r="B805" t="s">
        <v>183</v>
      </c>
      <c r="C805">
        <v>2026</v>
      </c>
      <c r="D805" s="2" t="s">
        <v>3069</v>
      </c>
      <c r="E805" s="12" t="s">
        <v>3072</v>
      </c>
      <c r="H805" t="s">
        <v>1180</v>
      </c>
      <c r="I805" t="s">
        <v>48</v>
      </c>
      <c r="J805" t="s">
        <v>968</v>
      </c>
      <c r="M805" s="25" t="s">
        <v>3073</v>
      </c>
      <c r="N805" s="25">
        <v>888355406260</v>
      </c>
      <c r="T805" s="17"/>
    </row>
    <row r="806" spans="2:20">
      <c r="B806" t="s">
        <v>183</v>
      </c>
      <c r="C806">
        <v>2026</v>
      </c>
      <c r="D806" s="2" t="s">
        <v>3069</v>
      </c>
      <c r="E806" s="12" t="s">
        <v>3074</v>
      </c>
      <c r="H806" t="s">
        <v>1180</v>
      </c>
      <c r="I806" t="s">
        <v>48</v>
      </c>
      <c r="J806" t="s">
        <v>968</v>
      </c>
      <c r="M806" s="140" t="s">
        <v>3075</v>
      </c>
      <c r="N806" s="140">
        <v>888221120459</v>
      </c>
      <c r="T806" s="17"/>
    </row>
    <row r="807" spans="2:20">
      <c r="B807" t="s">
        <v>183</v>
      </c>
      <c r="C807">
        <v>2026</v>
      </c>
      <c r="D807" s="2" t="s">
        <v>3069</v>
      </c>
      <c r="E807" s="12" t="s">
        <v>3076</v>
      </c>
      <c r="H807" t="s">
        <v>1180</v>
      </c>
      <c r="I807" t="s">
        <v>48</v>
      </c>
      <c r="J807" t="s">
        <v>968</v>
      </c>
      <c r="M807" s="140" t="s">
        <v>3077</v>
      </c>
      <c r="N807" s="140" t="s">
        <v>3078</v>
      </c>
      <c r="T807" s="17"/>
    </row>
    <row r="808" spans="2:20">
      <c r="B808" t="s">
        <v>183</v>
      </c>
      <c r="C808">
        <v>2026</v>
      </c>
      <c r="D808" s="2" t="s">
        <v>3069</v>
      </c>
      <c r="E808" s="12" t="s">
        <v>3079</v>
      </c>
      <c r="H808" t="s">
        <v>1180</v>
      </c>
      <c r="I808" t="s">
        <v>48</v>
      </c>
      <c r="J808" t="s">
        <v>968</v>
      </c>
      <c r="M808" s="140" t="s">
        <v>3080</v>
      </c>
      <c r="N808" s="25" t="s">
        <v>3081</v>
      </c>
      <c r="T808" s="17"/>
    </row>
    <row r="809" spans="2:20">
      <c r="B809" t="s">
        <v>183</v>
      </c>
      <c r="C809">
        <v>2026</v>
      </c>
      <c r="D809" s="2" t="s">
        <v>3082</v>
      </c>
      <c r="E809" s="12" t="s">
        <v>3083</v>
      </c>
      <c r="H809" t="s">
        <v>1633</v>
      </c>
      <c r="I809" t="s">
        <v>48</v>
      </c>
      <c r="J809" t="s">
        <v>968</v>
      </c>
      <c r="M809" t="s">
        <v>3084</v>
      </c>
      <c r="N809" s="64">
        <v>2098973669</v>
      </c>
      <c r="T809" s="17"/>
    </row>
    <row r="810" spans="2:20">
      <c r="B810" t="s">
        <v>183</v>
      </c>
      <c r="C810">
        <v>2026</v>
      </c>
      <c r="D810" s="2" t="s">
        <v>3085</v>
      </c>
      <c r="E810" s="12" t="s">
        <v>3086</v>
      </c>
      <c r="H810" t="s">
        <v>1180</v>
      </c>
      <c r="I810" t="s">
        <v>973</v>
      </c>
      <c r="J810" t="s">
        <v>1119</v>
      </c>
      <c r="N810" s="12">
        <v>121202000993</v>
      </c>
      <c r="T810" s="17"/>
    </row>
    <row r="811" spans="2:20">
      <c r="B811" t="s">
        <v>183</v>
      </c>
      <c r="C811">
        <v>2026</v>
      </c>
      <c r="D811" s="2" t="s">
        <v>3087</v>
      </c>
      <c r="E811" s="12" t="s">
        <v>3088</v>
      </c>
      <c r="H811" t="s">
        <v>1180</v>
      </c>
      <c r="I811" t="s">
        <v>1302</v>
      </c>
      <c r="J811" t="s">
        <v>968</v>
      </c>
      <c r="M811" s="167" t="s">
        <v>3089</v>
      </c>
      <c r="N811" s="167">
        <v>888372671682</v>
      </c>
      <c r="T811" s="17"/>
    </row>
    <row r="812" spans="2:20">
      <c r="B812" t="s">
        <v>183</v>
      </c>
      <c r="C812">
        <v>2026</v>
      </c>
      <c r="D812" s="2" t="s">
        <v>3087</v>
      </c>
      <c r="E812" s="12" t="s">
        <v>3090</v>
      </c>
      <c r="H812" t="s">
        <v>1180</v>
      </c>
      <c r="I812" t="s">
        <v>973</v>
      </c>
      <c r="J812" t="s">
        <v>968</v>
      </c>
      <c r="N812" s="25">
        <v>1737194609</v>
      </c>
      <c r="O812" s="25">
        <v>1737561823</v>
      </c>
      <c r="T812" s="17"/>
    </row>
    <row r="813" spans="2:20">
      <c r="B813" t="s">
        <v>183</v>
      </c>
      <c r="C813">
        <v>2026</v>
      </c>
      <c r="D813" s="2" t="s">
        <v>3091</v>
      </c>
      <c r="E813" s="12" t="s">
        <v>3092</v>
      </c>
      <c r="H813" t="s">
        <v>1180</v>
      </c>
      <c r="I813" t="s">
        <v>48</v>
      </c>
      <c r="J813" t="s">
        <v>968</v>
      </c>
      <c r="M813" s="63">
        <v>7000154091</v>
      </c>
      <c r="N813" s="159" t="s">
        <v>3093</v>
      </c>
      <c r="T813" s="17"/>
    </row>
    <row r="814" spans="2:20">
      <c r="B814" t="s">
        <v>212</v>
      </c>
      <c r="C814">
        <v>2026</v>
      </c>
      <c r="D814" s="2">
        <v>46117</v>
      </c>
      <c r="E814" s="12" t="s">
        <v>3094</v>
      </c>
      <c r="H814" t="s">
        <v>967</v>
      </c>
      <c r="I814" t="s">
        <v>48</v>
      </c>
      <c r="J814" t="s">
        <v>968</v>
      </c>
      <c r="T814" s="17"/>
    </row>
    <row r="815" spans="2:20">
      <c r="B815" t="s">
        <v>212</v>
      </c>
      <c r="C815">
        <v>2026</v>
      </c>
      <c r="D815" s="2">
        <v>46147</v>
      </c>
      <c r="E815" s="12" t="s">
        <v>3095</v>
      </c>
      <c r="H815" t="s">
        <v>1135</v>
      </c>
      <c r="I815" t="s">
        <v>973</v>
      </c>
      <c r="J815" t="s">
        <v>968</v>
      </c>
      <c r="M815" t="s">
        <v>3096</v>
      </c>
      <c r="N815" s="64">
        <v>1751787095</v>
      </c>
      <c r="T815" s="17"/>
    </row>
    <row r="816" spans="2:20">
      <c r="B816" t="s">
        <v>212</v>
      </c>
      <c r="C816">
        <v>2026</v>
      </c>
      <c r="D816" s="2">
        <v>46208</v>
      </c>
      <c r="E816" s="12" t="s">
        <v>3097</v>
      </c>
      <c r="H816" t="s">
        <v>1180</v>
      </c>
      <c r="I816" t="s">
        <v>48</v>
      </c>
      <c r="J816" t="s">
        <v>968</v>
      </c>
      <c r="M816">
        <v>7000159607</v>
      </c>
      <c r="N816" s="140" t="s">
        <v>3098</v>
      </c>
      <c r="T816" s="17"/>
    </row>
    <row r="817" spans="2:20" ht="22.5" customHeight="1">
      <c r="B817" t="s">
        <v>212</v>
      </c>
      <c r="C817">
        <v>2026</v>
      </c>
      <c r="D817" s="2">
        <v>46239</v>
      </c>
      <c r="E817" t="s">
        <v>3099</v>
      </c>
      <c r="I817" t="s">
        <v>973</v>
      </c>
      <c r="J817" t="s">
        <v>2928</v>
      </c>
      <c r="M817" s="170" t="s">
        <v>3100</v>
      </c>
      <c r="N817" s="159">
        <v>1000320539</v>
      </c>
      <c r="T817" s="17"/>
    </row>
    <row r="818" spans="2:20">
      <c r="B818" t="s">
        <v>212</v>
      </c>
      <c r="C818">
        <v>2026</v>
      </c>
      <c r="D818" s="2">
        <v>46361</v>
      </c>
      <c r="E818" s="12" t="s">
        <v>3015</v>
      </c>
      <c r="H818" t="s">
        <v>1180</v>
      </c>
      <c r="I818" t="s">
        <v>973</v>
      </c>
      <c r="J818" t="s">
        <v>968</v>
      </c>
      <c r="M818" s="49" t="s">
        <v>3101</v>
      </c>
      <c r="N818" s="167">
        <v>2018718030</v>
      </c>
      <c r="T818" s="17"/>
    </row>
    <row r="819" spans="2:20">
      <c r="B819" t="s">
        <v>212</v>
      </c>
      <c r="C819">
        <v>2026</v>
      </c>
      <c r="D819" s="2" t="s">
        <v>3102</v>
      </c>
      <c r="E819" t="s">
        <v>3103</v>
      </c>
      <c r="H819" t="s">
        <v>1633</v>
      </c>
      <c r="I819" t="s">
        <v>973</v>
      </c>
      <c r="J819" t="s">
        <v>2928</v>
      </c>
      <c r="T819" s="17"/>
    </row>
    <row r="820" spans="2:20">
      <c r="B820" t="s">
        <v>212</v>
      </c>
      <c r="C820">
        <v>2026</v>
      </c>
      <c r="D820" s="2" t="s">
        <v>3102</v>
      </c>
      <c r="E820" t="s">
        <v>3104</v>
      </c>
      <c r="H820" t="s">
        <v>1633</v>
      </c>
      <c r="I820" t="s">
        <v>973</v>
      </c>
      <c r="J820" t="s">
        <v>2928</v>
      </c>
      <c r="T820" s="17"/>
    </row>
    <row r="821" spans="2:20" ht="45.75">
      <c r="B821" t="s">
        <v>212</v>
      </c>
      <c r="C821">
        <v>2026</v>
      </c>
      <c r="D821" s="2" t="s">
        <v>3105</v>
      </c>
      <c r="E821" s="44" t="s">
        <v>3106</v>
      </c>
      <c r="H821" t="s">
        <v>967</v>
      </c>
      <c r="I821" t="s">
        <v>48</v>
      </c>
      <c r="J821" t="s">
        <v>968</v>
      </c>
      <c r="T821" s="17"/>
    </row>
    <row r="822" spans="2:20">
      <c r="B822" t="s">
        <v>212</v>
      </c>
      <c r="C822">
        <v>2026</v>
      </c>
      <c r="D822" s="2" t="s">
        <v>3107</v>
      </c>
      <c r="E822" t="s">
        <v>3108</v>
      </c>
      <c r="I822" t="s">
        <v>973</v>
      </c>
      <c r="J822" t="s">
        <v>3030</v>
      </c>
      <c r="T822" s="17"/>
    </row>
    <row r="823" spans="2:20">
      <c r="B823" t="s">
        <v>212</v>
      </c>
      <c r="C823">
        <v>2026</v>
      </c>
      <c r="D823" s="2" t="s">
        <v>3107</v>
      </c>
      <c r="E823" s="12" t="s">
        <v>3109</v>
      </c>
      <c r="H823" t="s">
        <v>1364</v>
      </c>
      <c r="I823" t="s">
        <v>973</v>
      </c>
      <c r="T823" s="17"/>
    </row>
    <row r="824" spans="2:20">
      <c r="B824" t="s">
        <v>212</v>
      </c>
      <c r="C824">
        <v>2026</v>
      </c>
      <c r="D824" s="2" t="s">
        <v>3110</v>
      </c>
      <c r="E824" s="12" t="s">
        <v>3111</v>
      </c>
      <c r="H824" t="s">
        <v>1180</v>
      </c>
      <c r="I824" t="s">
        <v>48</v>
      </c>
      <c r="J824" t="s">
        <v>968</v>
      </c>
      <c r="M824" s="25" t="s">
        <v>3112</v>
      </c>
      <c r="N824" s="159">
        <v>888201941603</v>
      </c>
      <c r="T824" s="17"/>
    </row>
    <row r="825" spans="2:20">
      <c r="B825" t="s">
        <v>212</v>
      </c>
      <c r="C825">
        <v>2026</v>
      </c>
      <c r="D825" s="2" t="s">
        <v>3110</v>
      </c>
      <c r="E825" t="s">
        <v>3113</v>
      </c>
      <c r="H825" t="s">
        <v>1135</v>
      </c>
      <c r="I825" t="s">
        <v>973</v>
      </c>
      <c r="J825" t="s">
        <v>2928</v>
      </c>
      <c r="N825" s="25">
        <v>111202023002</v>
      </c>
      <c r="T825" s="17"/>
    </row>
    <row r="826" spans="2:20">
      <c r="B826" t="s">
        <v>212</v>
      </c>
      <c r="C826">
        <v>2026</v>
      </c>
      <c r="D826" s="2" t="s">
        <v>3110</v>
      </c>
      <c r="E826" t="s">
        <v>3114</v>
      </c>
      <c r="H826" t="s">
        <v>1135</v>
      </c>
      <c r="I826" t="s">
        <v>973</v>
      </c>
      <c r="J826" t="s">
        <v>2928</v>
      </c>
      <c r="N826" s="25">
        <v>111202023040</v>
      </c>
      <c r="T826" s="17"/>
    </row>
    <row r="827" spans="2:20">
      <c r="B827" t="s">
        <v>261</v>
      </c>
      <c r="C827">
        <v>2026</v>
      </c>
      <c r="D827" s="2">
        <v>46059</v>
      </c>
      <c r="E827" s="12" t="s">
        <v>3115</v>
      </c>
      <c r="H827" t="s">
        <v>1364</v>
      </c>
      <c r="I827" t="s">
        <v>973</v>
      </c>
      <c r="J827" t="s">
        <v>3030</v>
      </c>
      <c r="T827" s="17"/>
    </row>
    <row r="828" spans="2:20">
      <c r="B828" t="s">
        <v>261</v>
      </c>
      <c r="C828">
        <v>2026</v>
      </c>
      <c r="D828" s="2">
        <v>46087</v>
      </c>
      <c r="E828" s="12" t="s">
        <v>3116</v>
      </c>
      <c r="H828" t="s">
        <v>1135</v>
      </c>
      <c r="I828" t="s">
        <v>973</v>
      </c>
      <c r="J828" t="s">
        <v>1119</v>
      </c>
      <c r="M828" s="25" t="s">
        <v>3117</v>
      </c>
      <c r="N828" s="25">
        <v>1257879408</v>
      </c>
      <c r="O828" s="25">
        <v>1257852538</v>
      </c>
      <c r="T828" s="17"/>
    </row>
    <row r="829" spans="2:20">
      <c r="B829" t="s">
        <v>261</v>
      </c>
      <c r="C829">
        <v>2026</v>
      </c>
      <c r="D829" s="2">
        <v>46087</v>
      </c>
      <c r="E829" s="12" t="s">
        <v>3118</v>
      </c>
      <c r="H829" t="s">
        <v>1180</v>
      </c>
      <c r="I829" t="s">
        <v>973</v>
      </c>
      <c r="J829" t="s">
        <v>3030</v>
      </c>
      <c r="N829" s="25" t="s">
        <v>3119</v>
      </c>
      <c r="T829" s="17"/>
    </row>
    <row r="830" spans="2:20">
      <c r="B830" t="s">
        <v>261</v>
      </c>
      <c r="C830">
        <v>2026</v>
      </c>
      <c r="D830" s="2">
        <v>46087</v>
      </c>
      <c r="E830" t="s">
        <v>3120</v>
      </c>
      <c r="H830" t="s">
        <v>967</v>
      </c>
      <c r="I830" t="s">
        <v>48</v>
      </c>
      <c r="J830" t="s">
        <v>968</v>
      </c>
      <c r="M830" t="s">
        <v>3121</v>
      </c>
      <c r="T830" s="17"/>
    </row>
    <row r="831" spans="2:20">
      <c r="B831" t="s">
        <v>261</v>
      </c>
      <c r="C831">
        <v>2026</v>
      </c>
      <c r="D831" s="2">
        <v>46148</v>
      </c>
      <c r="E831" s="12" t="s">
        <v>3122</v>
      </c>
      <c r="H831" t="s">
        <v>1364</v>
      </c>
      <c r="I831" t="s">
        <v>973</v>
      </c>
      <c r="J831" t="s">
        <v>968</v>
      </c>
      <c r="M831" s="25" t="s">
        <v>3123</v>
      </c>
      <c r="N831" s="25">
        <v>2087311545</v>
      </c>
      <c r="T831" s="17"/>
    </row>
    <row r="832" spans="2:20">
      <c r="B832" t="s">
        <v>261</v>
      </c>
      <c r="C832">
        <v>2026</v>
      </c>
      <c r="D832" s="2">
        <v>46148</v>
      </c>
      <c r="E832" s="74" t="s">
        <v>3124</v>
      </c>
      <c r="H832" t="s">
        <v>1135</v>
      </c>
      <c r="I832" t="s">
        <v>973</v>
      </c>
      <c r="J832" t="s">
        <v>1119</v>
      </c>
      <c r="M832" s="25" t="s">
        <v>3117</v>
      </c>
      <c r="N832" s="25">
        <v>1257879408</v>
      </c>
      <c r="O832" s="25">
        <v>1257852538</v>
      </c>
      <c r="T832" s="17"/>
    </row>
    <row r="833" spans="2:20">
      <c r="B833" t="s">
        <v>261</v>
      </c>
      <c r="C833">
        <v>2026</v>
      </c>
      <c r="D833" s="2" t="s">
        <v>3125</v>
      </c>
      <c r="E833" s="12" t="s">
        <v>3126</v>
      </c>
      <c r="H833" t="s">
        <v>1180</v>
      </c>
      <c r="I833" t="s">
        <v>48</v>
      </c>
      <c r="J833" t="s">
        <v>968</v>
      </c>
      <c r="M833" s="159">
        <v>7000199710</v>
      </c>
      <c r="N833" s="159" t="s">
        <v>3127</v>
      </c>
      <c r="T833" s="17"/>
    </row>
    <row r="834" spans="2:20">
      <c r="B834" t="s">
        <v>261</v>
      </c>
      <c r="C834">
        <v>2026</v>
      </c>
      <c r="D834" s="2" t="s">
        <v>3128</v>
      </c>
      <c r="E834" s="12" t="s">
        <v>3109</v>
      </c>
      <c r="H834" t="s">
        <v>1364</v>
      </c>
      <c r="I834" t="s">
        <v>973</v>
      </c>
      <c r="T834" s="17"/>
    </row>
    <row r="835" spans="2:20">
      <c r="B835" t="s">
        <v>261</v>
      </c>
      <c r="C835">
        <v>2026</v>
      </c>
      <c r="D835" s="2" t="s">
        <v>3128</v>
      </c>
      <c r="E835" s="74" t="s">
        <v>3129</v>
      </c>
      <c r="H835" t="s">
        <v>1180</v>
      </c>
      <c r="I835" t="s">
        <v>48</v>
      </c>
      <c r="J835" t="s">
        <v>968</v>
      </c>
      <c r="M835" s="140" t="s">
        <v>3130</v>
      </c>
      <c r="T835" s="17"/>
    </row>
    <row r="836" spans="2:20">
      <c r="B836" t="s">
        <v>261</v>
      </c>
      <c r="C836">
        <v>2026</v>
      </c>
      <c r="D836" s="2" t="s">
        <v>3128</v>
      </c>
      <c r="E836" s="12" t="s">
        <v>3131</v>
      </c>
      <c r="H836" t="s">
        <v>967</v>
      </c>
      <c r="I836" t="s">
        <v>48</v>
      </c>
      <c r="J836" t="s">
        <v>968</v>
      </c>
      <c r="M836" s="43" t="s">
        <v>3132</v>
      </c>
      <c r="T836" s="17"/>
    </row>
    <row r="837" spans="2:20">
      <c r="B837" t="s">
        <v>261</v>
      </c>
      <c r="C837">
        <v>2026</v>
      </c>
      <c r="D837" s="2" t="s">
        <v>3128</v>
      </c>
      <c r="E837" s="12" t="s">
        <v>3133</v>
      </c>
      <c r="H837" t="s">
        <v>1180</v>
      </c>
      <c r="I837" t="s">
        <v>973</v>
      </c>
      <c r="J837" t="s">
        <v>968</v>
      </c>
      <c r="N837" s="25" t="s">
        <v>3134</v>
      </c>
      <c r="T837" s="17"/>
    </row>
    <row r="838" spans="2:20">
      <c r="B838" t="s">
        <v>261</v>
      </c>
      <c r="C838">
        <v>2026</v>
      </c>
      <c r="D838" s="2" t="s">
        <v>3128</v>
      </c>
      <c r="E838" s="12" t="s">
        <v>3133</v>
      </c>
      <c r="H838" t="s">
        <v>1180</v>
      </c>
      <c r="I838" t="s">
        <v>48</v>
      </c>
      <c r="J838" t="s">
        <v>968</v>
      </c>
      <c r="M838" s="25" t="s">
        <v>3135</v>
      </c>
      <c r="N838" s="25">
        <v>888400966112</v>
      </c>
      <c r="T838" s="17"/>
    </row>
    <row r="839" spans="2:20">
      <c r="B839" t="s">
        <v>261</v>
      </c>
      <c r="C839">
        <v>2026</v>
      </c>
      <c r="D839" s="2" t="s">
        <v>3128</v>
      </c>
      <c r="E839" s="12" t="s">
        <v>3136</v>
      </c>
      <c r="H839" t="s">
        <v>1180</v>
      </c>
      <c r="I839" t="s">
        <v>48</v>
      </c>
      <c r="J839" t="s">
        <v>968</v>
      </c>
      <c r="M839" s="25" t="s">
        <v>3137</v>
      </c>
      <c r="N839" s="25">
        <v>888337521367</v>
      </c>
      <c r="T839" s="17"/>
    </row>
    <row r="840" spans="2:20" ht="27.75">
      <c r="B840" t="s">
        <v>261</v>
      </c>
      <c r="C840">
        <v>2026</v>
      </c>
      <c r="D840" s="2" t="s">
        <v>3138</v>
      </c>
      <c r="E840" s="55" t="s">
        <v>3139</v>
      </c>
      <c r="H840" t="s">
        <v>967</v>
      </c>
      <c r="I840" t="s">
        <v>48</v>
      </c>
      <c r="J840" t="s">
        <v>968</v>
      </c>
      <c r="M840" s="43" t="s">
        <v>3140</v>
      </c>
      <c r="T840" s="17"/>
    </row>
    <row r="841" spans="2:20">
      <c r="B841" t="s">
        <v>261</v>
      </c>
      <c r="C841">
        <v>2026</v>
      </c>
      <c r="D841" s="2" t="s">
        <v>3138</v>
      </c>
      <c r="E841" s="12" t="s">
        <v>3141</v>
      </c>
      <c r="H841" t="s">
        <v>1180</v>
      </c>
      <c r="I841" t="s">
        <v>48</v>
      </c>
      <c r="J841" t="s">
        <v>968</v>
      </c>
      <c r="M841" s="157" t="s">
        <v>2220</v>
      </c>
      <c r="N841" s="25">
        <v>888190943498</v>
      </c>
      <c r="T841" s="17"/>
    </row>
    <row r="842" spans="2:20">
      <c r="B842" t="s">
        <v>261</v>
      </c>
      <c r="C842">
        <v>2026</v>
      </c>
      <c r="D842" s="2" t="s">
        <v>3138</v>
      </c>
      <c r="E842" s="12" t="s">
        <v>3142</v>
      </c>
      <c r="H842" t="s">
        <v>1180</v>
      </c>
      <c r="I842" t="s">
        <v>973</v>
      </c>
      <c r="J842" t="s">
        <v>968</v>
      </c>
      <c r="M842" s="25" t="s">
        <v>3143</v>
      </c>
      <c r="N842" s="25" t="s">
        <v>3144</v>
      </c>
      <c r="T842" s="17"/>
    </row>
    <row r="843" spans="2:20">
      <c r="B843" t="s">
        <v>261</v>
      </c>
      <c r="C843">
        <v>2026</v>
      </c>
      <c r="D843" s="2" t="s">
        <v>3138</v>
      </c>
      <c r="E843" s="12" t="s">
        <v>3145</v>
      </c>
      <c r="H843" t="s">
        <v>967</v>
      </c>
      <c r="I843" t="s">
        <v>48</v>
      </c>
      <c r="J843" t="s">
        <v>968</v>
      </c>
      <c r="M843" s="43" t="s">
        <v>3146</v>
      </c>
      <c r="T843" s="17"/>
    </row>
    <row r="844" spans="2:20">
      <c r="B844" t="s">
        <v>274</v>
      </c>
      <c r="C844">
        <v>2026</v>
      </c>
      <c r="D844" s="2">
        <v>46029</v>
      </c>
      <c r="E844" s="12" t="s">
        <v>3147</v>
      </c>
      <c r="H844" t="s">
        <v>967</v>
      </c>
      <c r="I844" t="s">
        <v>48</v>
      </c>
      <c r="J844" t="s">
        <v>968</v>
      </c>
      <c r="M844" t="s">
        <v>3148</v>
      </c>
      <c r="T844" s="17"/>
    </row>
    <row r="845" spans="2:20">
      <c r="B845" t="s">
        <v>274</v>
      </c>
      <c r="C845">
        <v>2026</v>
      </c>
      <c r="D845" s="2">
        <v>46029</v>
      </c>
      <c r="E845" s="12" t="s">
        <v>3149</v>
      </c>
      <c r="H845" t="s">
        <v>1180</v>
      </c>
      <c r="I845" t="s">
        <v>973</v>
      </c>
      <c r="J845" t="s">
        <v>968</v>
      </c>
      <c r="N845" s="25">
        <v>2086940549</v>
      </c>
      <c r="T845" s="17"/>
    </row>
    <row r="846" spans="2:20">
      <c r="B846" t="s">
        <v>274</v>
      </c>
      <c r="C846">
        <v>2026</v>
      </c>
      <c r="D846" s="2">
        <v>46029</v>
      </c>
      <c r="E846" s="12" t="s">
        <v>3150</v>
      </c>
      <c r="H846" t="s">
        <v>1180</v>
      </c>
      <c r="I846" t="s">
        <v>973</v>
      </c>
      <c r="J846" t="s">
        <v>968</v>
      </c>
      <c r="M846" s="25" t="s">
        <v>3151</v>
      </c>
      <c r="N846" s="25">
        <v>2062778034</v>
      </c>
      <c r="T846" s="17"/>
    </row>
    <row r="847" spans="2:20">
      <c r="B847" t="s">
        <v>274</v>
      </c>
      <c r="C847">
        <v>2026</v>
      </c>
      <c r="D847" s="2">
        <v>46029</v>
      </c>
      <c r="E847" s="12" t="s">
        <v>3152</v>
      </c>
      <c r="H847" t="s">
        <v>1180</v>
      </c>
      <c r="I847" t="s">
        <v>973</v>
      </c>
      <c r="J847" t="s">
        <v>968</v>
      </c>
      <c r="M847" s="25" t="s">
        <v>3153</v>
      </c>
      <c r="N847" s="25">
        <v>1752622611</v>
      </c>
      <c r="O847" s="25">
        <v>1755569148</v>
      </c>
      <c r="T847" s="17"/>
    </row>
    <row r="848" spans="2:20">
      <c r="B848" t="s">
        <v>274</v>
      </c>
      <c r="C848">
        <v>2026</v>
      </c>
      <c r="D848" s="2">
        <v>46029</v>
      </c>
      <c r="E848" s="12" t="s">
        <v>3154</v>
      </c>
      <c r="H848" t="s">
        <v>1180</v>
      </c>
      <c r="I848" t="s">
        <v>973</v>
      </c>
      <c r="J848" t="s">
        <v>968</v>
      </c>
      <c r="M848" s="25" t="s">
        <v>3155</v>
      </c>
      <c r="N848" s="25">
        <v>2061227912</v>
      </c>
      <c r="O848" s="25">
        <v>2062354051</v>
      </c>
      <c r="T848" s="17"/>
    </row>
    <row r="849" spans="2:20">
      <c r="B849" t="s">
        <v>274</v>
      </c>
      <c r="C849">
        <v>2026</v>
      </c>
      <c r="D849" s="2">
        <v>46180</v>
      </c>
      <c r="E849" s="12" t="s">
        <v>3156</v>
      </c>
      <c r="H849" t="s">
        <v>1364</v>
      </c>
      <c r="I849" t="s">
        <v>973</v>
      </c>
      <c r="J849" t="s">
        <v>1119</v>
      </c>
      <c r="T849" s="17"/>
    </row>
    <row r="850" spans="2:20">
      <c r="B850" t="s">
        <v>274</v>
      </c>
      <c r="C850">
        <v>2026</v>
      </c>
      <c r="D850" s="2">
        <v>46180</v>
      </c>
      <c r="E850" s="12" t="s">
        <v>3157</v>
      </c>
      <c r="H850" t="s">
        <v>1633</v>
      </c>
      <c r="I850" t="s">
        <v>973</v>
      </c>
      <c r="J850" t="s">
        <v>1119</v>
      </c>
      <c r="T850" s="17"/>
    </row>
    <row r="851" spans="2:20">
      <c r="B851" t="s">
        <v>274</v>
      </c>
      <c r="C851">
        <v>2026</v>
      </c>
      <c r="D851" s="2">
        <v>46180</v>
      </c>
      <c r="E851" s="12" t="s">
        <v>3158</v>
      </c>
      <c r="H851" t="s">
        <v>967</v>
      </c>
      <c r="I851" t="s">
        <v>48</v>
      </c>
      <c r="J851" t="s">
        <v>968</v>
      </c>
      <c r="M851" t="s">
        <v>3159</v>
      </c>
      <c r="T851" s="17"/>
    </row>
    <row r="852" spans="2:20">
      <c r="B852" t="s">
        <v>274</v>
      </c>
      <c r="C852">
        <v>2026</v>
      </c>
      <c r="D852" s="2">
        <v>46180</v>
      </c>
      <c r="E852" s="12" t="s">
        <v>3160</v>
      </c>
      <c r="H852" t="s">
        <v>1633</v>
      </c>
      <c r="I852" t="s">
        <v>973</v>
      </c>
      <c r="J852" t="s">
        <v>1119</v>
      </c>
      <c r="T852" s="17"/>
    </row>
    <row r="853" spans="2:20">
      <c r="B853" t="s">
        <v>274</v>
      </c>
      <c r="C853">
        <v>2026</v>
      </c>
      <c r="D853" s="2">
        <v>46180</v>
      </c>
      <c r="E853" s="12" t="s">
        <v>3161</v>
      </c>
      <c r="H853" t="s">
        <v>1180</v>
      </c>
      <c r="I853" t="s">
        <v>973</v>
      </c>
      <c r="J853" t="s">
        <v>968</v>
      </c>
      <c r="M853" s="25" t="s">
        <v>3162</v>
      </c>
      <c r="N853" s="25">
        <v>1713499904</v>
      </c>
      <c r="T853" s="17"/>
    </row>
    <row r="854" spans="2:20">
      <c r="B854" t="s">
        <v>274</v>
      </c>
      <c r="C854">
        <v>2026</v>
      </c>
      <c r="D854" s="2">
        <v>46180</v>
      </c>
      <c r="E854" s="12" t="s">
        <v>3163</v>
      </c>
      <c r="H854" t="s">
        <v>1180</v>
      </c>
      <c r="I854" t="s">
        <v>973</v>
      </c>
      <c r="J854" t="s">
        <v>1119</v>
      </c>
      <c r="T854" s="17"/>
    </row>
    <row r="855" spans="2:20">
      <c r="B855" t="s">
        <v>274</v>
      </c>
      <c r="C855">
        <v>2026</v>
      </c>
      <c r="D855" s="2">
        <v>46302</v>
      </c>
      <c r="E855" s="12" t="s">
        <v>3164</v>
      </c>
      <c r="H855" t="s">
        <v>1633</v>
      </c>
      <c r="I855" t="s">
        <v>973</v>
      </c>
      <c r="J855" t="s">
        <v>1119</v>
      </c>
      <c r="T855" s="17"/>
    </row>
    <row r="856" spans="2:20">
      <c r="B856" t="s">
        <v>274</v>
      </c>
      <c r="C856">
        <v>2026</v>
      </c>
      <c r="D856" s="2">
        <v>46302</v>
      </c>
      <c r="E856" s="12" t="s">
        <v>3165</v>
      </c>
      <c r="H856" t="s">
        <v>1180</v>
      </c>
      <c r="I856" t="s">
        <v>48</v>
      </c>
      <c r="J856" t="s">
        <v>968</v>
      </c>
      <c r="M856" s="25" t="s">
        <v>3166</v>
      </c>
      <c r="N856" s="25" t="s">
        <v>3167</v>
      </c>
      <c r="T856" s="17"/>
    </row>
    <row r="857" spans="2:20">
      <c r="B857" t="s">
        <v>274</v>
      </c>
      <c r="C857">
        <v>2026</v>
      </c>
      <c r="D857" s="2">
        <v>46302</v>
      </c>
      <c r="E857" s="12" t="s">
        <v>3164</v>
      </c>
      <c r="H857" t="s">
        <v>1633</v>
      </c>
      <c r="I857" t="s">
        <v>973</v>
      </c>
      <c r="J857" t="s">
        <v>1119</v>
      </c>
      <c r="T857" s="17"/>
    </row>
    <row r="858" spans="2:20">
      <c r="B858" t="s">
        <v>274</v>
      </c>
      <c r="C858">
        <v>2026</v>
      </c>
      <c r="D858" s="2">
        <v>46302</v>
      </c>
      <c r="E858" s="12" t="s">
        <v>3165</v>
      </c>
      <c r="H858" t="s">
        <v>1180</v>
      </c>
      <c r="I858" t="s">
        <v>48</v>
      </c>
      <c r="J858" t="s">
        <v>968</v>
      </c>
      <c r="M858" s="25" t="s">
        <v>3168</v>
      </c>
      <c r="N858" s="25" t="s">
        <v>3168</v>
      </c>
      <c r="T858" s="17"/>
    </row>
    <row r="859" spans="2:20">
      <c r="B859" t="s">
        <v>274</v>
      </c>
      <c r="C859">
        <v>2026</v>
      </c>
      <c r="D859" s="175" t="s">
        <v>3169</v>
      </c>
      <c r="E859" t="s">
        <v>3170</v>
      </c>
      <c r="H859" t="s">
        <v>1556</v>
      </c>
      <c r="I859" t="s">
        <v>973</v>
      </c>
      <c r="J859" t="s">
        <v>968</v>
      </c>
      <c r="T859" s="17"/>
    </row>
    <row r="860" spans="2:20">
      <c r="B860" t="s">
        <v>274</v>
      </c>
      <c r="C860">
        <v>2026</v>
      </c>
      <c r="D860" s="176" t="s">
        <v>3169</v>
      </c>
      <c r="E860" s="45" t="s">
        <v>3171</v>
      </c>
      <c r="H860" t="s">
        <v>1633</v>
      </c>
      <c r="I860" t="s">
        <v>973</v>
      </c>
      <c r="J860" t="s">
        <v>968</v>
      </c>
      <c r="M860" s="43" t="s">
        <v>3172</v>
      </c>
      <c r="T860" s="17"/>
    </row>
    <row r="861" spans="2:20" ht="16.5">
      <c r="B861" t="s">
        <v>274</v>
      </c>
      <c r="C861">
        <v>2026</v>
      </c>
      <c r="D861" s="2" t="s">
        <v>3173</v>
      </c>
      <c r="E861" s="12" t="s">
        <v>3174</v>
      </c>
      <c r="H861" t="s">
        <v>967</v>
      </c>
      <c r="I861" t="s">
        <v>48</v>
      </c>
      <c r="J861" t="s">
        <v>968</v>
      </c>
      <c r="M861" s="177" t="s">
        <v>3175</v>
      </c>
      <c r="T861" s="17"/>
    </row>
    <row r="862" spans="2:20">
      <c r="B862" t="s">
        <v>274</v>
      </c>
      <c r="C862">
        <v>2026</v>
      </c>
      <c r="D862" s="2" t="s">
        <v>3173</v>
      </c>
      <c r="E862" s="12" t="s">
        <v>3176</v>
      </c>
      <c r="H862" t="s">
        <v>1633</v>
      </c>
      <c r="I862" t="s">
        <v>973</v>
      </c>
      <c r="J862" t="s">
        <v>968</v>
      </c>
      <c r="M862" t="s">
        <v>3177</v>
      </c>
      <c r="T862" s="17"/>
    </row>
    <row r="863" spans="2:20">
      <c r="B863" t="s">
        <v>274</v>
      </c>
      <c r="C863">
        <v>2026</v>
      </c>
      <c r="D863" s="2" t="s">
        <v>3173</v>
      </c>
      <c r="E863" s="62" t="s">
        <v>3178</v>
      </c>
      <c r="H863" t="s">
        <v>1633</v>
      </c>
      <c r="I863" t="s">
        <v>973</v>
      </c>
      <c r="J863" t="s">
        <v>1119</v>
      </c>
      <c r="T863" s="17"/>
    </row>
    <row r="864" spans="2:20">
      <c r="B864" t="s">
        <v>274</v>
      </c>
      <c r="C864">
        <v>2026</v>
      </c>
      <c r="D864" s="2" t="s">
        <v>3173</v>
      </c>
      <c r="E864" s="12" t="s">
        <v>3179</v>
      </c>
      <c r="F864" s="2" t="s">
        <v>3173</v>
      </c>
      <c r="H864" t="s">
        <v>1633</v>
      </c>
      <c r="I864" t="s">
        <v>973</v>
      </c>
      <c r="J864" t="s">
        <v>1119</v>
      </c>
      <c r="T864" s="17"/>
    </row>
    <row r="865" spans="2:20">
      <c r="B865" t="s">
        <v>274</v>
      </c>
      <c r="C865">
        <v>2026</v>
      </c>
      <c r="D865" s="2" t="s">
        <v>3180</v>
      </c>
      <c r="E865" s="62" t="s">
        <v>3181</v>
      </c>
      <c r="H865" t="s">
        <v>1364</v>
      </c>
      <c r="I865" t="s">
        <v>48</v>
      </c>
      <c r="J865" t="s">
        <v>968</v>
      </c>
      <c r="M865" t="s">
        <v>3182</v>
      </c>
      <c r="T865" s="17"/>
    </row>
    <row r="866" spans="2:20">
      <c r="B866" t="s">
        <v>274</v>
      </c>
      <c r="C866">
        <v>2026</v>
      </c>
      <c r="D866" s="2" t="s">
        <v>3183</v>
      </c>
      <c r="E866" s="12" t="s">
        <v>3131</v>
      </c>
      <c r="H866" t="s">
        <v>967</v>
      </c>
      <c r="I866" t="s">
        <v>48</v>
      </c>
      <c r="J866" t="s">
        <v>968</v>
      </c>
      <c r="M866" s="43" t="s">
        <v>3184</v>
      </c>
      <c r="T866" s="17"/>
    </row>
    <row r="867" spans="2:20">
      <c r="B867" t="s">
        <v>274</v>
      </c>
      <c r="C867">
        <v>2026</v>
      </c>
      <c r="D867" s="2" t="s">
        <v>3183</v>
      </c>
      <c r="E867" s="62" t="s">
        <v>3185</v>
      </c>
      <c r="H867" t="s">
        <v>967</v>
      </c>
      <c r="I867" t="s">
        <v>48</v>
      </c>
      <c r="J867" t="s">
        <v>968</v>
      </c>
      <c r="M867" t="s">
        <v>3186</v>
      </c>
      <c r="T867" s="17"/>
    </row>
    <row r="868" spans="2:20">
      <c r="B868" t="s">
        <v>274</v>
      </c>
      <c r="C868">
        <v>2026</v>
      </c>
      <c r="D868" s="2" t="s">
        <v>3183</v>
      </c>
      <c r="E868" s="12" t="s">
        <v>3187</v>
      </c>
      <c r="H868" t="s">
        <v>1633</v>
      </c>
      <c r="I868" t="s">
        <v>973</v>
      </c>
      <c r="J868" t="s">
        <v>968</v>
      </c>
      <c r="T868" s="17"/>
    </row>
    <row r="869" spans="2:20">
      <c r="B869" t="s">
        <v>274</v>
      </c>
      <c r="C869">
        <v>2026</v>
      </c>
      <c r="D869" s="2" t="s">
        <v>3188</v>
      </c>
      <c r="E869" s="12" t="s">
        <v>3189</v>
      </c>
      <c r="H869" t="s">
        <v>1180</v>
      </c>
      <c r="I869" t="s">
        <v>48</v>
      </c>
      <c r="J869" t="s">
        <v>968</v>
      </c>
      <c r="M869" s="140" t="s">
        <v>3190</v>
      </c>
      <c r="N869" s="140">
        <v>888289653594</v>
      </c>
      <c r="T869" s="17"/>
    </row>
    <row r="870" spans="2:20">
      <c r="B870" t="s">
        <v>274</v>
      </c>
      <c r="C870">
        <v>2026</v>
      </c>
      <c r="D870" s="2" t="s">
        <v>3188</v>
      </c>
      <c r="E870" s="12" t="s">
        <v>3191</v>
      </c>
      <c r="H870" t="s">
        <v>1180</v>
      </c>
      <c r="I870" t="s">
        <v>48</v>
      </c>
      <c r="J870" t="s">
        <v>968</v>
      </c>
      <c r="N870" s="25">
        <v>2169</v>
      </c>
      <c r="T870" s="17"/>
    </row>
    <row r="871" spans="2:20" ht="15.75" customHeight="1">
      <c r="B871" t="s">
        <v>274</v>
      </c>
      <c r="C871">
        <v>2026</v>
      </c>
      <c r="D871" s="2" t="s">
        <v>3188</v>
      </c>
      <c r="E871" s="12" t="s">
        <v>3192</v>
      </c>
      <c r="H871" t="s">
        <v>1180</v>
      </c>
      <c r="I871" t="s">
        <v>973</v>
      </c>
      <c r="J871" t="s">
        <v>968</v>
      </c>
      <c r="M871" s="140" t="s">
        <v>2256</v>
      </c>
      <c r="N871" s="140">
        <v>2077377993</v>
      </c>
      <c r="T871" s="17"/>
    </row>
    <row r="872" spans="2:20">
      <c r="B872" t="s">
        <v>274</v>
      </c>
      <c r="C872">
        <v>2026</v>
      </c>
      <c r="D872" s="2" t="s">
        <v>3188</v>
      </c>
      <c r="E872" s="12" t="s">
        <v>3193</v>
      </c>
      <c r="H872" t="s">
        <v>1180</v>
      </c>
      <c r="I872" t="s">
        <v>48</v>
      </c>
      <c r="J872" t="s">
        <v>968</v>
      </c>
      <c r="M872" s="25" t="s">
        <v>3194</v>
      </c>
      <c r="N872" s="25">
        <v>888376811000</v>
      </c>
      <c r="T872" s="17"/>
    </row>
    <row r="873" spans="2:20">
      <c r="B873" t="s">
        <v>274</v>
      </c>
      <c r="C873">
        <v>2026</v>
      </c>
      <c r="D873" s="2" t="s">
        <v>3188</v>
      </c>
      <c r="E873" s="12" t="s">
        <v>3195</v>
      </c>
      <c r="H873" t="s">
        <v>1180</v>
      </c>
      <c r="I873" t="s">
        <v>1302</v>
      </c>
      <c r="J873" t="s">
        <v>968</v>
      </c>
      <c r="N873" s="25">
        <v>888349879570</v>
      </c>
      <c r="T873" s="17"/>
    </row>
    <row r="874" spans="2:20">
      <c r="B874" t="s">
        <v>274</v>
      </c>
      <c r="C874">
        <v>2026</v>
      </c>
      <c r="D874" s="2" t="s">
        <v>3188</v>
      </c>
      <c r="E874" s="12" t="s">
        <v>3196</v>
      </c>
      <c r="H874" t="s">
        <v>1180</v>
      </c>
      <c r="I874" t="s">
        <v>973</v>
      </c>
      <c r="J874" t="s">
        <v>968</v>
      </c>
      <c r="M874" s="25" t="s">
        <v>3197</v>
      </c>
      <c r="N874" s="25">
        <v>1702827525</v>
      </c>
      <c r="O874" s="25">
        <v>1702819209</v>
      </c>
      <c r="T874" s="17"/>
    </row>
    <row r="875" spans="2:20">
      <c r="B875" t="s">
        <v>274</v>
      </c>
      <c r="C875">
        <v>2026</v>
      </c>
      <c r="D875" s="2" t="s">
        <v>3188</v>
      </c>
      <c r="E875" s="12" t="s">
        <v>3198</v>
      </c>
      <c r="H875" t="s">
        <v>1364</v>
      </c>
      <c r="I875" t="s">
        <v>973</v>
      </c>
      <c r="J875" t="s">
        <v>968</v>
      </c>
      <c r="N875" s="63">
        <v>1928673400</v>
      </c>
      <c r="T875" s="17"/>
    </row>
    <row r="876" spans="2:20">
      <c r="B876" t="s">
        <v>274</v>
      </c>
      <c r="C876">
        <v>2026</v>
      </c>
      <c r="D876" s="2" t="s">
        <v>3188</v>
      </c>
      <c r="E876" s="12" t="s">
        <v>3199</v>
      </c>
      <c r="H876" t="s">
        <v>1180</v>
      </c>
      <c r="I876" t="s">
        <v>973</v>
      </c>
      <c r="J876" t="s">
        <v>1119</v>
      </c>
      <c r="M876" s="25" t="s">
        <v>3200</v>
      </c>
      <c r="N876" s="25">
        <v>1701582955</v>
      </c>
      <c r="O876" s="25">
        <v>1701583079</v>
      </c>
      <c r="T876" s="17"/>
    </row>
    <row r="877" spans="2:20">
      <c r="B877" t="s">
        <v>274</v>
      </c>
      <c r="C877">
        <v>2026</v>
      </c>
      <c r="D877" s="2" t="s">
        <v>3201</v>
      </c>
      <c r="E877" s="12" t="s">
        <v>3202</v>
      </c>
      <c r="H877" t="s">
        <v>1364</v>
      </c>
      <c r="I877" t="s">
        <v>973</v>
      </c>
      <c r="T877" s="17"/>
    </row>
    <row r="878" spans="2:20">
      <c r="B878" t="s">
        <v>274</v>
      </c>
      <c r="C878">
        <v>2026</v>
      </c>
      <c r="D878" s="2" t="s">
        <v>3201</v>
      </c>
      <c r="E878" s="12" t="s">
        <v>3203</v>
      </c>
      <c r="H878" t="s">
        <v>1364</v>
      </c>
      <c r="I878" t="s">
        <v>973</v>
      </c>
      <c r="T878" s="17"/>
    </row>
    <row r="879" spans="2:20">
      <c r="B879" t="s">
        <v>274</v>
      </c>
      <c r="C879">
        <v>2026</v>
      </c>
      <c r="D879" s="2" t="s">
        <v>3204</v>
      </c>
      <c r="E879" s="12" t="s">
        <v>3205</v>
      </c>
      <c r="H879" t="s">
        <v>985</v>
      </c>
      <c r="I879" t="s">
        <v>48</v>
      </c>
      <c r="J879" t="s">
        <v>968</v>
      </c>
      <c r="M879" s="43" t="s">
        <v>3132</v>
      </c>
      <c r="N879" s="178" t="s">
        <v>2897</v>
      </c>
      <c r="T879" s="17"/>
    </row>
    <row r="880" spans="2:20">
      <c r="B880" t="s">
        <v>303</v>
      </c>
      <c r="C880">
        <v>2026</v>
      </c>
      <c r="D880" s="2">
        <v>46150</v>
      </c>
      <c r="E880" s="12" t="s">
        <v>3206</v>
      </c>
      <c r="H880" t="s">
        <v>1633</v>
      </c>
      <c r="I880" t="s">
        <v>973</v>
      </c>
      <c r="J880" t="s">
        <v>968</v>
      </c>
      <c r="T880" s="17"/>
    </row>
    <row r="881" spans="2:20">
      <c r="B881" t="s">
        <v>303</v>
      </c>
      <c r="C881">
        <v>2026</v>
      </c>
      <c r="D881" s="2">
        <v>46150</v>
      </c>
      <c r="E881" s="12" t="s">
        <v>3207</v>
      </c>
      <c r="H881" t="s">
        <v>1633</v>
      </c>
      <c r="I881" t="s">
        <v>973</v>
      </c>
      <c r="J881" t="s">
        <v>1119</v>
      </c>
      <c r="T881" s="17"/>
    </row>
    <row r="882" spans="2:20">
      <c r="B882" t="s">
        <v>303</v>
      </c>
      <c r="C882">
        <v>2026</v>
      </c>
      <c r="D882" s="2">
        <v>46364</v>
      </c>
      <c r="E882" s="12" t="s">
        <v>3208</v>
      </c>
      <c r="H882" t="s">
        <v>1180</v>
      </c>
      <c r="I882" t="s">
        <v>973</v>
      </c>
      <c r="J882" t="s">
        <v>968</v>
      </c>
      <c r="M882" s="140" t="s">
        <v>3209</v>
      </c>
      <c r="N882" s="140">
        <v>88835064483</v>
      </c>
      <c r="T882" s="17"/>
    </row>
    <row r="883" spans="2:20">
      <c r="T883" s="17"/>
    </row>
    <row r="884" spans="2:20">
      <c r="T884" s="17"/>
    </row>
    <row r="885" spans="2:20">
      <c r="T885" s="17"/>
    </row>
    <row r="886" spans="2:20">
      <c r="T886" s="17"/>
    </row>
    <row r="887" spans="2:20">
      <c r="T887" s="17"/>
    </row>
    <row r="888" spans="2:20">
      <c r="T888" s="17"/>
    </row>
    <row r="889" spans="2:20">
      <c r="T889" s="17"/>
    </row>
    <row r="890" spans="2:20">
      <c r="T890" s="17"/>
    </row>
    <row r="891" spans="2:20">
      <c r="T891" s="17"/>
    </row>
    <row r="892" spans="2:20">
      <c r="T892" s="17"/>
    </row>
    <row r="893" spans="2:20">
      <c r="T893" s="17"/>
    </row>
    <row r="894" spans="2:20">
      <c r="T894" s="17"/>
    </row>
    <row r="895" spans="2:20">
      <c r="T895" s="17"/>
    </row>
    <row r="896" spans="2:20">
      <c r="T896" s="17"/>
    </row>
    <row r="897" spans="20:20">
      <c r="T897" s="17"/>
    </row>
    <row r="898" spans="20:20">
      <c r="T898" s="17"/>
    </row>
    <row r="899" spans="20:20">
      <c r="T899" s="17"/>
    </row>
    <row r="900" spans="20:20">
      <c r="T900" s="17"/>
    </row>
    <row r="901" spans="20:20">
      <c r="T901" s="17"/>
    </row>
    <row r="902" spans="20:20">
      <c r="T902" s="17"/>
    </row>
    <row r="903" spans="20:20">
      <c r="T903" s="17"/>
    </row>
    <row r="904" spans="20:20">
      <c r="T904" s="17"/>
    </row>
    <row r="905" spans="20:20">
      <c r="T905" s="17"/>
    </row>
    <row r="906" spans="20:20">
      <c r="T906" s="17"/>
    </row>
    <row r="907" spans="20:20">
      <c r="T907" s="17"/>
    </row>
    <row r="908" spans="20:20">
      <c r="T908" s="17"/>
    </row>
    <row r="909" spans="20:20">
      <c r="T909" s="17"/>
    </row>
    <row r="910" spans="20:20">
      <c r="T910" s="17"/>
    </row>
    <row r="911" spans="20:20">
      <c r="T911" s="17"/>
    </row>
    <row r="912" spans="20:20">
      <c r="T912" s="17"/>
    </row>
    <row r="913" spans="20:20">
      <c r="T913" s="17"/>
    </row>
    <row r="914" spans="20:20">
      <c r="T914" s="17"/>
    </row>
    <row r="915" spans="20:20">
      <c r="T915" s="17"/>
    </row>
    <row r="916" spans="20:20">
      <c r="T916" s="17"/>
    </row>
    <row r="917" spans="20:20">
      <c r="T917" s="17"/>
    </row>
    <row r="918" spans="20:20">
      <c r="T918" s="17"/>
    </row>
    <row r="919" spans="20:20">
      <c r="T919" s="17"/>
    </row>
    <row r="920" spans="20:20">
      <c r="T920" s="17"/>
    </row>
    <row r="921" spans="20:20">
      <c r="T921" s="17"/>
    </row>
    <row r="922" spans="20:20">
      <c r="T922" s="17"/>
    </row>
    <row r="923" spans="20:20">
      <c r="T923" s="17"/>
    </row>
    <row r="924" spans="20:20">
      <c r="T924" s="17"/>
    </row>
    <row r="925" spans="20:20">
      <c r="T925" s="17"/>
    </row>
    <row r="926" spans="20:20">
      <c r="T926" s="17"/>
    </row>
    <row r="927" spans="20:20">
      <c r="T927" s="17"/>
    </row>
    <row r="928" spans="20:20">
      <c r="T928" s="17"/>
    </row>
    <row r="929" spans="20:20">
      <c r="T929" s="17"/>
    </row>
    <row r="930" spans="20:20">
      <c r="T930" s="17"/>
    </row>
    <row r="931" spans="20:20">
      <c r="T931" s="17"/>
    </row>
    <row r="932" spans="20:20">
      <c r="T932" s="17"/>
    </row>
    <row r="933" spans="20:20">
      <c r="T933" s="17"/>
    </row>
    <row r="934" spans="20:20">
      <c r="T934" s="17"/>
    </row>
    <row r="935" spans="20:20">
      <c r="T935" s="17"/>
    </row>
    <row r="936" spans="20:20">
      <c r="T936" s="17"/>
    </row>
    <row r="937" spans="20:20">
      <c r="T937" s="17"/>
    </row>
    <row r="938" spans="20:20">
      <c r="T938" s="17"/>
    </row>
    <row r="939" spans="20:20">
      <c r="T939" s="17"/>
    </row>
    <row r="940" spans="20:20">
      <c r="T940" s="17"/>
    </row>
    <row r="941" spans="20:20">
      <c r="T941" s="17"/>
    </row>
    <row r="942" spans="20:20">
      <c r="T942" s="17"/>
    </row>
    <row r="943" spans="20:20">
      <c r="T943" s="17"/>
    </row>
    <row r="944" spans="20:20">
      <c r="T944" s="17"/>
    </row>
    <row r="945" spans="20:20">
      <c r="T945" s="17"/>
    </row>
    <row r="946" spans="20:20">
      <c r="T946" s="17"/>
    </row>
    <row r="947" spans="20:20">
      <c r="T947" s="17"/>
    </row>
    <row r="948" spans="20:20">
      <c r="T948" s="17"/>
    </row>
    <row r="949" spans="20:20">
      <c r="T949" s="17"/>
    </row>
    <row r="950" spans="20:20">
      <c r="T950" s="17"/>
    </row>
    <row r="951" spans="20:20">
      <c r="T951" s="17"/>
    </row>
    <row r="952" spans="20:20">
      <c r="T952" s="17"/>
    </row>
    <row r="953" spans="20:20">
      <c r="T953" s="17"/>
    </row>
    <row r="954" spans="20:20">
      <c r="T954" s="17"/>
    </row>
    <row r="955" spans="20:20">
      <c r="T955" s="17"/>
    </row>
    <row r="956" spans="20:20">
      <c r="T956" s="17"/>
    </row>
    <row r="957" spans="20:20">
      <c r="T957" s="17"/>
    </row>
    <row r="958" spans="20:20">
      <c r="T958" s="17"/>
    </row>
    <row r="959" spans="20:20">
      <c r="T959" s="17"/>
    </row>
    <row r="960" spans="20:20">
      <c r="T960" s="17"/>
    </row>
    <row r="961" spans="20:20">
      <c r="T961" s="17"/>
    </row>
    <row r="962" spans="20:20">
      <c r="T962" s="17"/>
    </row>
    <row r="963" spans="20:20">
      <c r="T963" s="17"/>
    </row>
    <row r="964" spans="20:20">
      <c r="T964" s="17"/>
    </row>
    <row r="965" spans="20:20">
      <c r="T965" s="17"/>
    </row>
    <row r="966" spans="20:20">
      <c r="T966" s="17"/>
    </row>
    <row r="967" spans="20:20">
      <c r="T967" s="17"/>
    </row>
    <row r="968" spans="20:20">
      <c r="T968" s="17"/>
    </row>
    <row r="969" spans="20:20">
      <c r="T969" s="17"/>
    </row>
    <row r="970" spans="20:20">
      <c r="T970" s="17"/>
    </row>
    <row r="971" spans="20:20">
      <c r="T971" s="17"/>
    </row>
    <row r="972" spans="20:20">
      <c r="T972" s="17"/>
    </row>
    <row r="973" spans="20:20">
      <c r="T973" s="17"/>
    </row>
    <row r="974" spans="20:20">
      <c r="T974" s="17"/>
    </row>
    <row r="975" spans="20:20">
      <c r="T975" s="17"/>
    </row>
    <row r="976" spans="20:20">
      <c r="T976" s="17"/>
    </row>
    <row r="977" spans="20:20">
      <c r="T977" s="17"/>
    </row>
    <row r="978" spans="20:20">
      <c r="T978" s="17"/>
    </row>
    <row r="979" spans="20:20">
      <c r="T979" s="17"/>
    </row>
    <row r="980" spans="20:20">
      <c r="T980" s="17"/>
    </row>
    <row r="981" spans="20:20">
      <c r="T981" s="17"/>
    </row>
    <row r="982" spans="20:20">
      <c r="T982" s="17"/>
    </row>
    <row r="983" spans="20:20">
      <c r="T983" s="17"/>
    </row>
    <row r="984" spans="20:20">
      <c r="T984" s="17"/>
    </row>
    <row r="985" spans="20:20">
      <c r="T985" s="17"/>
    </row>
    <row r="986" spans="20:20">
      <c r="T986" s="17"/>
    </row>
    <row r="987" spans="20:20">
      <c r="T987" s="17"/>
    </row>
    <row r="988" spans="20:20">
      <c r="T988" s="17"/>
    </row>
    <row r="989" spans="20:20">
      <c r="T989" s="17"/>
    </row>
    <row r="990" spans="20:20">
      <c r="T990" s="17"/>
    </row>
    <row r="991" spans="20:20">
      <c r="T991" s="17"/>
    </row>
    <row r="992" spans="20:20">
      <c r="T992" s="17"/>
    </row>
    <row r="993" spans="20:20">
      <c r="T993" s="17"/>
    </row>
    <row r="994" spans="20:20">
      <c r="T994" s="17"/>
    </row>
    <row r="995" spans="20:20">
      <c r="T995" s="17"/>
    </row>
    <row r="996" spans="20:20">
      <c r="T996" s="17"/>
    </row>
    <row r="997" spans="20:20">
      <c r="T997" s="17"/>
    </row>
    <row r="998" spans="20:20">
      <c r="T998" s="17"/>
    </row>
    <row r="999" spans="20:20">
      <c r="T999" s="17"/>
    </row>
    <row r="1000" spans="20:20">
      <c r="T1000" s="17"/>
    </row>
    <row r="1001" spans="20:20">
      <c r="T1001" s="17"/>
    </row>
    <row r="1002" spans="20:20">
      <c r="T1002" s="17"/>
    </row>
    <row r="1003" spans="20:20">
      <c r="T1003" s="17"/>
    </row>
    <row r="1004" spans="20:20">
      <c r="T1004" s="17"/>
    </row>
    <row r="1005" spans="20:20">
      <c r="T1005" s="17"/>
    </row>
    <row r="1006" spans="20:20">
      <c r="T1006" s="17"/>
    </row>
    <row r="1007" spans="20:20">
      <c r="T1007" s="17"/>
    </row>
    <row r="1008" spans="20:20">
      <c r="T1008" s="17"/>
    </row>
    <row r="1009" spans="20:20">
      <c r="T1009" s="17"/>
    </row>
    <row r="1010" spans="20:20">
      <c r="T1010" s="17"/>
    </row>
    <row r="1011" spans="20:20">
      <c r="T1011" s="17"/>
    </row>
    <row r="1012" spans="20:20">
      <c r="T1012" s="17"/>
    </row>
    <row r="1013" spans="20:20">
      <c r="T1013" s="17"/>
    </row>
    <row r="1014" spans="20:20">
      <c r="T1014" s="17"/>
    </row>
    <row r="1015" spans="20:20">
      <c r="T1015" s="17"/>
    </row>
    <row r="1016" spans="20:20">
      <c r="T1016" s="17"/>
    </row>
    <row r="1017" spans="20:20">
      <c r="T1017" s="17"/>
    </row>
    <row r="1018" spans="20:20">
      <c r="T1018" s="17"/>
    </row>
    <row r="1019" spans="20:20">
      <c r="T1019" s="17"/>
    </row>
    <row r="1020" spans="20:20">
      <c r="T1020" s="17"/>
    </row>
    <row r="1021" spans="20:20">
      <c r="T1021" s="17"/>
    </row>
    <row r="1022" spans="20:20">
      <c r="T1022" s="17"/>
    </row>
    <row r="1023" spans="20:20">
      <c r="T1023" s="17"/>
    </row>
    <row r="1024" spans="20:20">
      <c r="T1024" s="17"/>
    </row>
    <row r="1025" spans="20:20">
      <c r="T1025" s="17"/>
    </row>
    <row r="1026" spans="20:20">
      <c r="T1026" s="17"/>
    </row>
    <row r="1027" spans="20:20">
      <c r="T1027" s="17"/>
    </row>
    <row r="1028" spans="20:20">
      <c r="T1028" s="17"/>
    </row>
    <row r="1029" spans="20:20">
      <c r="T1029" s="17"/>
    </row>
    <row r="1030" spans="20:20">
      <c r="T1030" s="17"/>
    </row>
    <row r="1031" spans="20:20">
      <c r="T1031" s="17"/>
    </row>
    <row r="1032" spans="20:20">
      <c r="T1032" s="17"/>
    </row>
    <row r="1033" spans="20:20">
      <c r="T1033" s="17"/>
    </row>
    <row r="1034" spans="20:20">
      <c r="T1034" s="17"/>
    </row>
    <row r="1035" spans="20:20">
      <c r="T1035" s="17"/>
    </row>
    <row r="1036" spans="20:20">
      <c r="T1036" s="17"/>
    </row>
    <row r="1037" spans="20:20">
      <c r="T1037" s="17"/>
    </row>
    <row r="1038" spans="20:20">
      <c r="T1038" s="17"/>
    </row>
    <row r="1039" spans="20:20">
      <c r="T1039" s="17"/>
    </row>
    <row r="1040" spans="20:20">
      <c r="T1040" s="17"/>
    </row>
    <row r="1041" spans="20:20">
      <c r="T1041" s="17"/>
    </row>
    <row r="1042" spans="20:20">
      <c r="T1042" s="17"/>
    </row>
    <row r="1043" spans="20:20">
      <c r="T1043" s="17"/>
    </row>
    <row r="1044" spans="20:20">
      <c r="T1044" s="17"/>
    </row>
    <row r="1045" spans="20:20">
      <c r="T1045" s="17"/>
    </row>
    <row r="1046" spans="20:20">
      <c r="T1046" s="17"/>
    </row>
    <row r="1047" spans="20:20">
      <c r="T1047" s="17"/>
    </row>
    <row r="1048" spans="20:20">
      <c r="T1048" s="17"/>
    </row>
    <row r="1049" spans="20:20">
      <c r="T1049" s="17"/>
    </row>
    <row r="1050" spans="20:20">
      <c r="T1050" s="17"/>
    </row>
    <row r="1051" spans="20:20">
      <c r="T1051" s="17"/>
    </row>
    <row r="1052" spans="20:20">
      <c r="T1052" s="17"/>
    </row>
    <row r="1053" spans="20:20">
      <c r="T1053" s="17"/>
    </row>
    <row r="1054" spans="20:20">
      <c r="T1054" s="17"/>
    </row>
    <row r="1055" spans="20:20">
      <c r="T1055" s="17"/>
    </row>
    <row r="1056" spans="20:20">
      <c r="T1056" s="17"/>
    </row>
    <row r="1057" spans="20:20">
      <c r="T1057" s="17"/>
    </row>
    <row r="1058" spans="20:20">
      <c r="T1058" s="17"/>
    </row>
    <row r="1059" spans="20:20">
      <c r="T1059" s="17"/>
    </row>
    <row r="1060" spans="20:20">
      <c r="T1060" s="17"/>
    </row>
    <row r="1061" spans="20:20">
      <c r="T1061" s="17"/>
    </row>
    <row r="1062" spans="20:20">
      <c r="T1062" s="17"/>
    </row>
    <row r="1063" spans="20:20">
      <c r="T1063" s="17"/>
    </row>
    <row r="1064" spans="20:20">
      <c r="T1064" s="17"/>
    </row>
    <row r="1065" spans="20:20">
      <c r="T1065" s="17"/>
    </row>
    <row r="1066" spans="20:20">
      <c r="T1066" s="17"/>
    </row>
    <row r="1067" spans="20:20">
      <c r="T1067" s="17"/>
    </row>
    <row r="1068" spans="20:20">
      <c r="T1068" s="17"/>
    </row>
    <row r="1069" spans="20:20">
      <c r="T1069" s="17"/>
    </row>
    <row r="1070" spans="20:20">
      <c r="T1070" s="17"/>
    </row>
    <row r="1071" spans="20:20">
      <c r="T1071" s="17"/>
    </row>
    <row r="1072" spans="20:20">
      <c r="T1072" s="17"/>
    </row>
    <row r="1073" spans="20:20">
      <c r="T1073" s="17"/>
    </row>
    <row r="1074" spans="20:20">
      <c r="T1074" s="17"/>
    </row>
    <row r="1075" spans="20:20">
      <c r="T1075" s="17"/>
    </row>
    <row r="1076" spans="20:20">
      <c r="T1076" s="17"/>
    </row>
    <row r="1077" spans="20:20">
      <c r="T1077" s="17"/>
    </row>
    <row r="1078" spans="20:20">
      <c r="T1078" s="17"/>
    </row>
    <row r="1079" spans="20:20">
      <c r="T1079" s="17"/>
    </row>
    <row r="1080" spans="20:20">
      <c r="T1080" s="17"/>
    </row>
    <row r="1081" spans="20:20">
      <c r="T1081" s="17"/>
    </row>
    <row r="1082" spans="20:20">
      <c r="T1082" s="17"/>
    </row>
    <row r="1083" spans="20:20">
      <c r="T1083" s="17"/>
    </row>
    <row r="1084" spans="20:20">
      <c r="T1084" s="17"/>
    </row>
    <row r="1085" spans="20:20">
      <c r="T1085" s="17"/>
    </row>
    <row r="1086" spans="20:20">
      <c r="T1086" s="17"/>
    </row>
    <row r="1087" spans="20:20">
      <c r="T1087" s="17"/>
    </row>
    <row r="1088" spans="20:20">
      <c r="T1088" s="17"/>
    </row>
    <row r="1089" spans="20:20">
      <c r="T1089" s="17"/>
    </row>
    <row r="1090" spans="20:20">
      <c r="T1090" s="17"/>
    </row>
    <row r="1091" spans="20:20">
      <c r="T1091" s="17"/>
    </row>
    <row r="1092" spans="20:20">
      <c r="T1092" s="17"/>
    </row>
    <row r="1093" spans="20:20">
      <c r="T1093" s="17"/>
    </row>
    <row r="1094" spans="20:20">
      <c r="T1094" s="17"/>
    </row>
    <row r="1095" spans="20:20">
      <c r="T1095" s="17"/>
    </row>
    <row r="1096" spans="20:20">
      <c r="T1096" s="17"/>
    </row>
    <row r="1097" spans="20:20">
      <c r="T1097" s="17"/>
    </row>
    <row r="1098" spans="20:20">
      <c r="T1098" s="17"/>
    </row>
    <row r="1099" spans="20:20">
      <c r="T1099" s="17"/>
    </row>
    <row r="1100" spans="20:20">
      <c r="T1100" s="17"/>
    </row>
    <row r="1101" spans="20:20">
      <c r="T1101" s="17"/>
    </row>
    <row r="1102" spans="20:20">
      <c r="T1102" s="17"/>
    </row>
    <row r="1103" spans="20:20">
      <c r="T1103" s="17"/>
    </row>
    <row r="1104" spans="20:20">
      <c r="T1104" s="17"/>
    </row>
    <row r="1105" spans="20:20">
      <c r="T1105" s="17"/>
    </row>
    <row r="1106" spans="20:20">
      <c r="T1106" s="17"/>
    </row>
    <row r="1107" spans="20:20">
      <c r="T1107" s="17"/>
    </row>
    <row r="1108" spans="20:20">
      <c r="T1108" s="17"/>
    </row>
    <row r="1109" spans="20:20">
      <c r="T1109" s="17"/>
    </row>
    <row r="1110" spans="20:20">
      <c r="T1110" s="17"/>
    </row>
    <row r="1111" spans="20:20">
      <c r="T1111" s="17"/>
    </row>
    <row r="1112" spans="20:20">
      <c r="T1112" s="17"/>
    </row>
    <row r="1113" spans="20:20">
      <c r="T1113" s="17"/>
    </row>
    <row r="1114" spans="20:20">
      <c r="T1114" s="17"/>
    </row>
    <row r="1115" spans="20:20">
      <c r="T1115" s="17"/>
    </row>
    <row r="1116" spans="20:20">
      <c r="T1116" s="17"/>
    </row>
    <row r="1117" spans="20:20">
      <c r="T1117" s="17"/>
    </row>
    <row r="1118" spans="20:20">
      <c r="T1118" s="17"/>
    </row>
    <row r="1119" spans="20:20">
      <c r="T1119" s="17"/>
    </row>
    <row r="1120" spans="20:20">
      <c r="T1120" s="17"/>
    </row>
    <row r="1121" spans="20:20">
      <c r="T1121" s="17"/>
    </row>
    <row r="1122" spans="20:20">
      <c r="T1122" s="17"/>
    </row>
    <row r="1123" spans="20:20">
      <c r="T1123" s="17"/>
    </row>
    <row r="1124" spans="20:20">
      <c r="T1124" s="17"/>
    </row>
    <row r="1125" spans="20:20">
      <c r="T1125" s="17"/>
    </row>
    <row r="1126" spans="20:20">
      <c r="T1126" s="17"/>
    </row>
    <row r="1127" spans="20:20">
      <c r="T1127" s="17"/>
    </row>
    <row r="1128" spans="20:20">
      <c r="T1128" s="17"/>
    </row>
    <row r="1129" spans="20:20">
      <c r="T1129" s="17"/>
    </row>
    <row r="1130" spans="20:20">
      <c r="T1130" s="17"/>
    </row>
    <row r="1131" spans="20:20">
      <c r="T1131" s="17"/>
    </row>
    <row r="1132" spans="20:20">
      <c r="T1132" s="17"/>
    </row>
    <row r="1133" spans="20:20">
      <c r="T1133" s="17"/>
    </row>
    <row r="1134" spans="20:20">
      <c r="T1134" s="17"/>
    </row>
    <row r="1135" spans="20:20">
      <c r="T1135" s="17"/>
    </row>
  </sheetData>
  <autoFilter ref="A1:W179" xr:uid="{BA259BF0-DB3E-41BD-8A09-2D56F357EEC0}">
    <filterColumn colId="7">
      <filters>
        <filter val="Dismantle"/>
      </filters>
    </filterColumn>
    <filterColumn colId="8">
      <filters>
        <filter val="Connectivity"/>
      </filters>
    </filterColumn>
    <filterColumn colId="9">
      <filters>
        <filter val="Telkom DES"/>
      </filters>
    </filterColumn>
  </autoFilter>
  <conditionalFormatting sqref="L334:L533">
    <cfRule type="cellIs" dxfId="5" priority="4" operator="lessThan">
      <formula>1</formula>
    </cfRule>
    <cfRule type="cellIs" dxfId="4" priority="5" operator="between">
      <formula>1</formula>
      <formula>45</formula>
    </cfRule>
    <cfRule type="cellIs" dxfId="3" priority="6" operator="between">
      <formula>46</formula>
      <formula>2000</formula>
    </cfRule>
  </conditionalFormatting>
  <dataValidations count="10">
    <dataValidation type="list" allowBlank="1" showInputMessage="1" showErrorMessage="1" sqref="I313 I317:I319 I629:I630 I284 I262 I322:I627 I635:I1135" xr:uid="{D7E96A1E-88EC-41C9-8C38-6B96F9BC046D}">
      <formula1>"Connectivity,Nomor Akses,IPPBX,Colocation"</formula1>
    </dataValidation>
    <dataValidation type="list" allowBlank="1" showInputMessage="1" showErrorMessage="1" sqref="R316:S316 R321:S321 R331:S333" xr:uid="{A74032D9-B5AB-4A8B-A619-554B22F7136E}">
      <formula1>"Open,Done"</formula1>
    </dataValidation>
    <dataValidation type="list" allowBlank="1" showInputMessage="1" showErrorMessage="1" sqref="H313 H317:H319 H284 H262 H322:H533 H535:H1135" xr:uid="{7EF5957F-79D1-48F6-9B5E-61A9CF04BB57}">
      <formula1>"Aktivasi,Novasi,Modified,PSB,Upgrade,Downgrade,Dismantle"</formula1>
    </dataValidation>
    <dataValidation type="list" allowBlank="1" showInputMessage="1" showErrorMessage="1" sqref="B317:B319 B322:B530 B535:B1135" xr:uid="{5830B0F8-E6F0-40FA-B662-4A2FE2654B7E}">
      <formula1>"Januari,Februari,Maret,April,Mei,Juni,Juli,Agustus,September,Oktober,November,Desember"</formula1>
    </dataValidation>
    <dataValidation type="list" allowBlank="1" showInputMessage="1" showErrorMessage="1" sqref="C317:C319 C322:C530 C628:C1135" xr:uid="{7C5B42AF-8B20-4085-A946-FB0540F7B64E}">
      <formula1>"2024,2025,2026,2027,2028"</formula1>
    </dataValidation>
    <dataValidation type="list" allowBlank="1" showInputMessage="1" showErrorMessage="1" sqref="R317:S319 R322:S330 R334:S341 R422:S533 R343:S420 R535:R1135 S535:S730 S1081:S1135" xr:uid="{896F6B2C-5392-441D-84BF-FFD822A2D6E8}">
      <formula1>"Open,Close"</formula1>
    </dataValidation>
    <dataValidation type="list" allowBlank="1" showInputMessage="1" showErrorMessage="1" sqref="K415:K416 K418 K450:K451 K456 J317:J319 K422 J409:K409 J681:J687 J410:J679 J284 J322:J408 L535:L1135" xr:uid="{2751BF9A-9BF1-417F-B7EA-37D280CC2D84}">
      <formula1>"Telkom DES,Telkom DWS"</formula1>
    </dataValidation>
    <dataValidation allowBlank="1" showInputMessage="1" showErrorMessage="1" sqref="K579:K1048576 K417:K420 K452:K455 K423:K449 K528:L533 K535:K577 K13:L179 K457:K527 L415:L527 K181:L414" xr:uid="{6444EE2F-CDDC-46AD-8A75-995D808E338A}"/>
    <dataValidation type="list" allowBlank="1" showInputMessage="1" showErrorMessage="1" sqref="J680 J688:J1048576" xr:uid="{48474548-A0C3-4511-9650-13D2FA1E4A48}">
      <formula1>"Telkom DES,Telkom DWS,Linknet,Lintasarta,Icon,Witel,Indosat,XL"</formula1>
    </dataValidation>
    <dataValidation type="list" allowBlank="1" showInputMessage="1" showErrorMessage="1" sqref="S731:S1080" xr:uid="{457BAEB9-9805-42D0-BDFF-6CA5411DEA42}">
      <formula1>"Nadine IT,WO SP,Provisioning"</formula1>
    </dataValidation>
  </dataValidations>
  <hyperlinks>
    <hyperlink ref="W243" r:id="rId1" xr:uid="{3A9FA6BA-CDD6-4666-AF0B-B26BB3CEB819}"/>
    <hyperlink ref="W231" r:id="rId2" xr:uid="{EA1BA6F4-FE5F-44EC-B12F-B93A9947937F}"/>
    <hyperlink ref="W19" r:id="rId3" xr:uid="{D99CCD55-655B-4137-BA43-3B76488183BB}"/>
    <hyperlink ref="W301" r:id="rId4" xr:uid="{1501FDDE-1CEA-4E82-8D1B-28D07EEC1C0F}"/>
    <hyperlink ref="W16" r:id="rId5" xr:uid="{0DB41490-81D3-403D-97A7-9FEB7017B97D}"/>
    <hyperlink ref="W300" r:id="rId6" xr:uid="{1BD51857-5723-41E5-8342-AE67270F0259}"/>
    <hyperlink ref="W27" r:id="rId7" xr:uid="{99001CFB-66FB-4F4D-8073-0EC1F5FF1974}"/>
    <hyperlink ref="W215" r:id="rId8" xr:uid="{08CF4FC6-2990-4D32-B1C4-802538F84105}"/>
    <hyperlink ref="W28" r:id="rId9" xr:uid="{76919C4E-0B87-4D55-A396-E6F06DBB7231}"/>
    <hyperlink ref="W239" r:id="rId10" xr:uid="{DE9C7897-54BD-494D-B4B3-2AEC6AC200D2}"/>
    <hyperlink ref="W25" r:id="rId11" xr:uid="{0BA1DFDD-4442-44CA-8D81-3B6DF3CF9A7C}"/>
    <hyperlink ref="W247" r:id="rId12" xr:uid="{B6D64E09-B930-4FAD-815B-DC779A3C0C65}"/>
    <hyperlink ref="W244" r:id="rId13" xr:uid="{6EB44BA4-1519-446D-8412-D7116FBD40E4}"/>
    <hyperlink ref="W26" r:id="rId14" xr:uid="{88DAA364-4B46-44E8-8165-EFD71A685E0E}"/>
    <hyperlink ref="W299" r:id="rId15" xr:uid="{F994D203-224D-4578-8722-BED163760B50}"/>
    <hyperlink ref="W29" r:id="rId16" xr:uid="{19E13D73-9BB3-438D-A6B5-361E514EED7B}"/>
    <hyperlink ref="W21" r:id="rId17" xr:uid="{0C7661B6-AA86-432B-AEEF-22E8A3206EDE}"/>
    <hyperlink ref="W288" r:id="rId18" xr:uid="{14E7020B-A776-4A7A-86B9-07274C395CD1}"/>
    <hyperlink ref="W295" r:id="rId19" xr:uid="{EDAD637B-B973-4F5A-AD75-5114CAE2A1E3}"/>
    <hyperlink ref="W349" r:id="rId20" xr:uid="{A2BD641B-CF01-4BFD-8CD9-120006A52935}"/>
    <hyperlink ref="W294" r:id="rId21" xr:uid="{378B68AD-4BFC-43DD-9559-EEFAD0261849}"/>
    <hyperlink ref="W353" r:id="rId22" xr:uid="{151CFFCB-C757-495A-9DA5-41E3D6EAC9FE}"/>
    <hyperlink ref="W351" r:id="rId23" xr:uid="{C89E1FB9-03E3-4F5A-80A6-AB6BBFF463A7}"/>
    <hyperlink ref="W182" r:id="rId24" xr:uid="{F9065379-EBBD-47CF-8053-A2135B63C6C1}"/>
    <hyperlink ref="W175" r:id="rId25" xr:uid="{F3F9D588-4BFD-406F-8190-655322EA4AB7}"/>
    <hyperlink ref="W183" r:id="rId26" xr:uid="{ADC54D13-9B4C-4869-B5E2-C7E749A4AE8C}"/>
    <hyperlink ref="W332" r:id="rId27" xr:uid="{C53C24AD-2E5E-4039-89B7-2338388EAF0B}"/>
    <hyperlink ref="W336" r:id="rId28" xr:uid="{66277746-08B7-4930-85EF-6E2B24318ED8}"/>
    <hyperlink ref="W348" r:id="rId29" xr:uid="{D2875BDF-728C-4CE8-AA57-71763956AFA0}"/>
    <hyperlink ref="W67" r:id="rId30" xr:uid="{59D2B166-FD83-429A-9972-46C714A223F5}"/>
    <hyperlink ref="W325" r:id="rId31" xr:uid="{DC3AC908-989B-4B93-98CD-B9AFF7AED092}"/>
    <hyperlink ref="W326" r:id="rId32" xr:uid="{B40EF7B6-A3B7-4BB8-94E3-D3D38A946AE4}"/>
    <hyperlink ref="W327" r:id="rId33" xr:uid="{699DFC00-EFA1-4702-B1D2-1B8EC705AF48}"/>
    <hyperlink ref="W176" r:id="rId34" xr:uid="{C0BE2BF5-AEC9-4073-AC03-2C3ACB9970A7}"/>
    <hyperlink ref="W335" r:id="rId35" xr:uid="{AEFC089C-11FB-45E2-BCB0-66C123B784E5}"/>
    <hyperlink ref="W69" r:id="rId36" xr:uid="{D18AB7F0-42EC-4E30-AFBD-1269E556AEE7}"/>
    <hyperlink ref="W222" r:id="rId37" xr:uid="{206CD47B-123E-4FD4-A425-9AC81529D324}"/>
    <hyperlink ref="W136" r:id="rId38" xr:uid="{D35A0B80-3A96-48EC-A849-92602B289088}"/>
    <hyperlink ref="W137" r:id="rId39" xr:uid="{8CEE182B-6F5A-430F-B1B8-480A9C90A4E4}"/>
    <hyperlink ref="W138" r:id="rId40" xr:uid="{1CC82ED0-1245-4B1B-9F9C-05D68228ED65}"/>
    <hyperlink ref="W139" r:id="rId41" xr:uid="{34EC54A3-D464-4D9E-8F29-2C899157337A}"/>
    <hyperlink ref="W140" r:id="rId42" xr:uid="{798E619F-A4F9-45C0-A113-C2D37FE40251}"/>
    <hyperlink ref="W141" r:id="rId43" xr:uid="{F71B1A46-DFC8-4CBB-8C8C-6EF8B26D5307}"/>
    <hyperlink ref="W142" r:id="rId44" xr:uid="{537CD782-B286-473A-B9C8-5FF683397438}"/>
    <hyperlink ref="W143" r:id="rId45" xr:uid="{309E929E-6191-484D-92E2-E8CD8DA37E11}"/>
    <hyperlink ref="W144" r:id="rId46" xr:uid="{84FF679B-DBC7-4C38-9311-19C0309B9814}"/>
    <hyperlink ref="W145" r:id="rId47" xr:uid="{1ABF0A51-46D5-4D72-BFE9-43C9386EE082}"/>
    <hyperlink ref="W146" r:id="rId48" xr:uid="{25C0CA92-3303-4306-B4FA-385CA5F4B9DC}"/>
    <hyperlink ref="W147" r:id="rId49" xr:uid="{2ADC0071-09EB-4A03-A655-6C4C4BF4B464}"/>
    <hyperlink ref="W172" r:id="rId50" xr:uid="{238E0F11-0069-41F3-BCFC-D35DB1A8D216}"/>
    <hyperlink ref="W49" r:id="rId51" xr:uid="{1A6DFF9A-11CF-4D3E-9070-1849726D9739}"/>
    <hyperlink ref="W148" r:id="rId52" xr:uid="{5548901C-709B-4B41-A7EC-14C340F075FC}"/>
    <hyperlink ref="W333" r:id="rId53" xr:uid="{0CEC9BD1-4834-4291-A672-FF822E480952}"/>
    <hyperlink ref="W319" r:id="rId54" xr:uid="{ACD2938A-2F9C-4580-B1ED-84C314834196}"/>
    <hyperlink ref="W302" r:id="rId55" xr:uid="{E2122A32-D688-42CB-AD21-044658CCF0C7}"/>
    <hyperlink ref="W313" r:id="rId56" xr:uid="{2F6D7E6A-1B03-48D1-8410-D7D616039D09}"/>
    <hyperlink ref="W20" r:id="rId57" xr:uid="{EF884D68-A172-49B8-B071-B1D1ED9667C0}"/>
    <hyperlink ref="W23" r:id="rId58" xr:uid="{2BBC5536-5335-4501-A3F2-CFD45A6C289D}"/>
    <hyperlink ref="W22" r:id="rId59" xr:uid="{752EE935-F383-472B-8258-345C192C5B0D}"/>
    <hyperlink ref="W238" r:id="rId60" xr:uid="{CEE8AF54-69FB-4BB0-B580-0428E4E12E85}"/>
    <hyperlink ref="W246" r:id="rId61" xr:uid="{6F0E396E-7A05-4CCE-AF02-C6930003CFFE}"/>
    <hyperlink ref="W235" r:id="rId62" xr:uid="{817AF482-A714-46BA-8BCD-44E8D3901070}"/>
    <hyperlink ref="W229" r:id="rId63" xr:uid="{536FFD07-BB1B-4096-82B2-AFBEF3F55844}"/>
    <hyperlink ref="W10" r:id="rId64" xr:uid="{DE43F069-A96D-437B-B175-47C03ABD0670}"/>
    <hyperlink ref="W250" r:id="rId65" xr:uid="{AC6956D9-5A4A-49C8-AA09-897A796A9522}"/>
    <hyperlink ref="W251" r:id="rId66" xr:uid="{D3B1C922-F9EF-4996-A6C0-6A43D624C31A}"/>
    <hyperlink ref="W259" r:id="rId67" xr:uid="{D36AE6B8-B9A9-404A-A9B9-DB25A79B4990}"/>
    <hyperlink ref="W248" r:id="rId68" xr:uid="{683BD74D-3454-447F-8AD6-05F55692A40A}"/>
    <hyperlink ref="W269" r:id="rId69" xr:uid="{DADCCAF7-5B5E-499D-9F76-B89512AD1A9D}"/>
    <hyperlink ref="W236" r:id="rId70" xr:uid="{865E50E0-8210-474B-B33D-3B60BC93E6F8}"/>
    <hyperlink ref="W237" r:id="rId71" xr:uid="{29B7A5A9-900C-49E9-A99D-2826C4C46CE7}"/>
    <hyperlink ref="W257" r:id="rId72" xr:uid="{0E3BCD45-99AB-40FA-A862-311993B80E88}"/>
    <hyperlink ref="W24" r:id="rId73" xr:uid="{68961CAE-C47D-44DF-97B0-0D5BA3822D13}"/>
    <hyperlink ref="W241" r:id="rId74" xr:uid="{7BBBB122-5634-4ADA-98DE-C38F222A4D02}"/>
    <hyperlink ref="W234" r:id="rId75" xr:uid="{D7997612-A9E0-4980-BD55-665589961003}"/>
    <hyperlink ref="W209" r:id="rId76" xr:uid="{A6384ED5-DE83-4022-AB28-6D8BFA1E1724}"/>
    <hyperlink ref="W207" r:id="rId77" xr:uid="{456CBF70-9C8B-4CCD-AE84-66122CD5EB2F}"/>
    <hyperlink ref="W233" r:id="rId78" xr:uid="{744B757C-1767-4769-AB93-BE2A55955154}"/>
    <hyperlink ref="W228" r:id="rId79" xr:uid="{A9363CAC-9F38-4BB2-8BEA-93AA5E9A104A}"/>
    <hyperlink ref="W12" r:id="rId80" xr:uid="{A1CDF0C9-1F15-4EEA-A824-F450A3147869}"/>
    <hyperlink ref="W11" r:id="rId81" xr:uid="{1E1BB7AB-886C-44B9-AE9A-E196D931222D}"/>
    <hyperlink ref="W2" r:id="rId82" xr:uid="{7EBA8D06-235C-4CD9-A2E9-F017F7F58AD9}"/>
    <hyperlink ref="W8" r:id="rId83" xr:uid="{6C4F78D3-91E6-4E19-BE37-808F4BFE6584}"/>
    <hyperlink ref="W3" r:id="rId84" xr:uid="{D24576FD-9322-4932-827A-8D51983307F4}"/>
    <hyperlink ref="W4" r:id="rId85" xr:uid="{843F502A-FB76-4C34-A23E-8B9B4C5DDCAB}"/>
    <hyperlink ref="W6" r:id="rId86" xr:uid="{69512DFA-6BF3-4DE5-816F-7D64646FB3EB}"/>
    <hyperlink ref="W7" r:id="rId87" xr:uid="{6B4E96DA-C8B3-4735-B769-5F79F29D177C}"/>
    <hyperlink ref="W5" r:id="rId88" xr:uid="{F86F4FAD-2D30-414C-B929-00526005245A}"/>
    <hyperlink ref="W9" r:id="rId89" xr:uid="{404FBC61-6D1B-45C4-A849-EF27D2C62513}"/>
    <hyperlink ref="W401" r:id="rId90" xr:uid="{2D03C71F-B270-412E-9A70-EFA20FADC0C0}"/>
    <hyperlink ref="W412" r:id="rId91" xr:uid="{CD4329BE-F232-442C-8988-98F79AAFE986}"/>
    <hyperlink ref="W482" r:id="rId92" xr:uid="{D3346412-55E3-4BBB-B160-EF04909B5AC1}"/>
    <hyperlink ref="W460" r:id="rId93" xr:uid="{9FEBF612-C30D-429D-ABBD-5F2CDC109F8F}"/>
    <hyperlink ref="W117" r:id="rId94" xr:uid="{11996226-EA9C-4732-957D-60A3EC202A99}"/>
    <hyperlink ref="W262" r:id="rId95" xr:uid="{845A8C07-1B78-4ABF-8D40-2FB86445ABE4}"/>
    <hyperlink ref="W34" r:id="rId96" xr:uid="{54214E09-F4F9-4514-BEA2-7E65B47FE829}"/>
    <hyperlink ref="W252" r:id="rId97" xr:uid="{154CA30C-7CCE-43C9-96A5-BE4D309697A9}"/>
    <hyperlink ref="W253" r:id="rId98" xr:uid="{402EED56-EB42-4220-8A2C-3955DB2662C9}"/>
    <hyperlink ref="W260" r:id="rId99" xr:uid="{19EA120C-21FC-4B16-9D90-0D317BF3927A}"/>
    <hyperlink ref="W315" r:id="rId100" xr:uid="{323116E6-A676-4BF8-B8E5-32902E0C8E1B}"/>
    <hyperlink ref="W191" r:id="rId101" xr:uid="{D16F804A-D2D4-4207-BC0F-B4D85D1740C8}"/>
    <hyperlink ref="W92" r:id="rId102" xr:uid="{9D3CF3A9-C578-4984-970D-D434F2C23A1C}"/>
    <hyperlink ref="W108" r:id="rId103" xr:uid="{1F09118E-1292-44DF-A6F1-A63E542E1B59}"/>
    <hyperlink ref="W30" r:id="rId104" xr:uid="{8483DD24-AC2C-47E8-840D-726592953FE6}"/>
    <hyperlink ref="W36" r:id="rId105" xr:uid="{376EFBAD-EA25-4C30-81CF-6F5235D8882A}"/>
    <hyperlink ref="W264" r:id="rId106" xr:uid="{A4DED6C2-1D3E-4356-9A0C-E96299259C08}"/>
    <hyperlink ref="W35" r:id="rId107" xr:uid="{85F2ECD6-4F69-451B-BFAC-55A4BC2FC879}"/>
    <hyperlink ref="W32" r:id="rId108" xr:uid="{CD8450D8-0BEB-4574-83F5-6664B7896F97}"/>
    <hyperlink ref="W119" r:id="rId109" xr:uid="{11CBF662-C3FC-4BE5-B099-ACEC7271FAE4}"/>
    <hyperlink ref="W267" r:id="rId110" xr:uid="{7B0D9A0B-C30B-47AB-A11B-CA6892B2D504}"/>
    <hyperlink ref="W149" r:id="rId111" xr:uid="{B6BBEE32-19A5-4FB0-A120-BB55F0053B58}"/>
    <hyperlink ref="W272" r:id="rId112" xr:uid="{DC0A3041-7958-4641-BFA1-1B6AACE4A4A5}"/>
    <hyperlink ref="W255" r:id="rId113" xr:uid="{C6CD4EAA-FCAF-49BB-872F-F0B4385AAD1D}"/>
    <hyperlink ref="W274" r:id="rId114" xr:uid="{AF42C95B-D0E7-427D-A0E0-11B02544ACA7}"/>
    <hyperlink ref="W187" r:id="rId115" xr:uid="{E3BAAB3E-722E-46BD-BE98-376EA4EC3C4B}"/>
    <hyperlink ref="W41" r:id="rId116" xr:uid="{0B771BAD-9254-4613-B78E-F7A6D910BCDE}"/>
    <hyperlink ref="W276" r:id="rId117" xr:uid="{E5069357-B433-4169-B96C-608F8CDA7397}"/>
    <hyperlink ref="W118" r:id="rId118" xr:uid="{058BBEC5-0C40-4BD4-8E8C-3FDC4E07EF41}"/>
    <hyperlink ref="W150" r:id="rId119" xr:uid="{7106FC2A-930E-4B45-BC4D-271DA182DE77}"/>
    <hyperlink ref="W275" r:id="rId120" xr:uid="{3DC3FA96-30B4-4D28-AB19-070F5EC7454C}"/>
    <hyperlink ref="W282" r:id="rId121" xr:uid="{C7539308-4CAE-4018-AFB8-42739DCF6E5B}"/>
    <hyperlink ref="W606" r:id="rId122" xr:uid="{3F61C45A-A1DE-495A-884C-FEF91B4298DC}"/>
    <hyperlink ref="W608" r:id="rId123" xr:uid="{3F1D7B16-7204-47C9-88BC-BC8F4C288AC6}"/>
    <hyperlink ref="W614" r:id="rId124" xr:uid="{287BF00D-E9A9-4001-88C0-7C5D1D612C7C}"/>
    <hyperlink ref="W550" r:id="rId125" xr:uid="{D4CDCCE7-6C32-418D-BF9F-EE434B128BAA}"/>
    <hyperlink ref="W543" r:id="rId126" xr:uid="{AA4303F4-9FED-4D11-AA09-19DA197B94AF}"/>
    <hyperlink ref="W452" r:id="rId127" xr:uid="{44876B66-72F4-432A-B76E-8744911B262E}"/>
    <hyperlink ref="W121" r:id="rId128" xr:uid="{6B4A0A67-F0BB-4394-BFD9-2340568007A6}"/>
    <hyperlink ref="W58" r:id="rId129" xr:uid="{F124CE42-DFCA-4D9B-8E2D-9B21E3E02C30}"/>
    <hyperlink ref="W593" r:id="rId130" xr:uid="{28B5927B-9730-4D6D-AE68-A82A96E8F481}"/>
    <hyperlink ref="W122" r:id="rId131" xr:uid="{EE594650-D9D4-4B28-8C14-8D0841239617}"/>
    <hyperlink ref="W123:W125" r:id="rId132" display="file" xr:uid="{EE17159E-A005-4617-BADF-EAF3C46802E3}"/>
    <hyperlink ref="W396" r:id="rId133" xr:uid="{9ED433CC-7739-41EC-92C8-B2264332ED80}"/>
    <hyperlink ref="W366" r:id="rId134" xr:uid="{90E434D9-3C7A-4586-8449-B1555A49CD76}"/>
    <hyperlink ref="W360" r:id="rId135" xr:uid="{7C01653F-74FF-4226-A12F-FC39CFE07052}"/>
    <hyperlink ref="W380" r:id="rId136" xr:uid="{A20C6DC0-08DB-41D2-AC82-86C0E4BA4CBF}"/>
    <hyperlink ref="W370" r:id="rId137" xr:uid="{5033AB26-5293-4C16-8881-046FA153BB3F}"/>
    <hyperlink ref="W126" r:id="rId138" xr:uid="{F8A54857-1736-4F4B-8424-A79A4FC3D8B3}"/>
    <hyperlink ref="W127:W128" r:id="rId139" display="file" xr:uid="{73BF1186-A8AE-4D0A-ADC8-0ABF940D2906}"/>
    <hyperlink ref="W48" r:id="rId140" xr:uid="{BE3948AB-7CAF-4812-A1F4-C7C63738CF5A}"/>
    <hyperlink ref="W129" r:id="rId141" xr:uid="{C0A2BD3C-DD44-40F8-8D07-13B65DFA0140}"/>
    <hyperlink ref="W130:W132" r:id="rId142" display="file" xr:uid="{00D2D886-5DA2-4888-A58A-633EB1AA9FD4}"/>
    <hyperlink ref="W405" r:id="rId143" xr:uid="{F243F3B6-6966-41E9-AEE8-B258DC0F8A20}"/>
    <hyperlink ref="W414" r:id="rId144" xr:uid="{4CADFE60-1997-4092-8C3C-2203D41234D2}"/>
    <hyperlink ref="W62" r:id="rId145" xr:uid="{9D35D973-D2B1-4093-885C-820EBCA2D4DC}"/>
    <hyperlink ref="W478" r:id="rId146" xr:uid="{4ED8FE37-DF0C-4419-A67B-3D75EC4406BC}"/>
    <hyperlink ref="W506" r:id="rId147" xr:uid="{8769D6BB-2077-41D0-BCB1-E2ED6D132C69}"/>
    <hyperlink ref="W411" r:id="rId148" xr:uid="{0010C9E8-955E-4153-B3DE-66080E4970CF}"/>
    <hyperlink ref="W450" r:id="rId149" xr:uid="{97BBF4D9-634C-411D-8966-9D1A6E86C1F4}"/>
    <hyperlink ref="W456" r:id="rId150" xr:uid="{49284E4E-138B-4CDC-8CC8-6298FA61FE10}"/>
    <hyperlink ref="W454" r:id="rId151" xr:uid="{0B270562-B870-49C0-B0AF-9E90977B3E1D}"/>
    <hyperlink ref="W479" r:id="rId152" xr:uid="{85243663-0414-4D8B-A02A-762829E7E3B5}"/>
    <hyperlink ref="W475" r:id="rId153" xr:uid="{0BC0AC46-9A38-4FD6-99C6-DC0C16F475BD}"/>
    <hyperlink ref="W457" r:id="rId154" xr:uid="{60223D0C-47B7-484E-B21A-B18A2FD78089}"/>
    <hyperlink ref="W481" r:id="rId155" xr:uid="{60CF5B42-84CB-4CF1-97ED-696C7C5B4657}"/>
    <hyperlink ref="W65" r:id="rId156" xr:uid="{040FF263-01B5-47C0-BF53-F2E982002A3A}"/>
    <hyperlink ref="W477" r:id="rId157" xr:uid="{CF02CD7D-80DB-42B1-93DD-49DFBB54261B}"/>
    <hyperlink ref="W498" r:id="rId158" xr:uid="{A626A1B4-1613-42E5-B106-30DD72AE7703}"/>
    <hyperlink ref="W480" r:id="rId159" xr:uid="{16033600-69DC-4605-BF85-62EEC1EE5662}"/>
    <hyperlink ref="W499" r:id="rId160" xr:uid="{056E55E5-3CBE-4F4A-A696-1B7A47474944}"/>
    <hyperlink ref="W68" r:id="rId161" xr:uid="{DEF2E9B3-3E04-4BAD-8172-ACAEC431366E}"/>
    <hyperlink ref="W70" r:id="rId162" xr:uid="{A9DBD046-74F0-4313-852C-4CD7FAEB3E24}"/>
    <hyperlink ref="W355" r:id="rId163" xr:uid="{5BA110C4-3B75-4D4B-BB3A-0261933E6CC6}"/>
    <hyperlink ref="W329" r:id="rId164" xr:uid="{821A5796-E0B3-44AC-B6AD-DA0257E7EFF5}"/>
    <hyperlink ref="W151" r:id="rId165" xr:uid="{FC7167F5-77D2-4D19-9A2E-D413D9384E36}"/>
    <hyperlink ref="W152" r:id="rId166" xr:uid="{C1575685-DA0E-48D8-B12E-0FF0800B5710}"/>
    <hyperlink ref="W153" r:id="rId167" xr:uid="{BC6C0999-665D-40E7-9622-7B305FACC5AC}"/>
    <hyperlink ref="W154" r:id="rId168" xr:uid="{0FBD7491-985E-4B64-9229-553D5F9B92B8}"/>
    <hyperlink ref="W66" r:id="rId169" xr:uid="{D4913070-C474-44FE-B815-6DA60E2565D6}"/>
    <hyperlink ref="W63" r:id="rId170" xr:uid="{8671C68E-31B3-4344-88A2-339F4EBB1A7C}"/>
    <hyperlink ref="W155" r:id="rId171" xr:uid="{46CE4EFF-1966-4C8A-B81E-D642ABAF1AC7}"/>
    <hyperlink ref="W284" r:id="rId172" xr:uid="{D7614716-F170-4CE3-87DD-135163A2C31D}"/>
    <hyperlink ref="W289" r:id="rId173" xr:uid="{2186715F-0757-4592-8882-0FB5E2DC286E}"/>
    <hyperlink ref="W178" r:id="rId174" xr:uid="{70E8D642-7056-45EC-9BEA-FBDBB60CC18C}"/>
    <hyperlink ref="W179" r:id="rId175" xr:uid="{97F802F4-5444-4B90-8D9D-AB6851805A68}"/>
    <hyperlink ref="W521" r:id="rId176" xr:uid="{C486B599-B502-4979-A74A-E87336935156}"/>
  </hyperlinks>
  <pageMargins left="0.7" right="0.7" top="0.75" bottom="0.75" header="0.3" footer="0.3"/>
  <drawing r:id="rId17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D588-36A6-485A-9841-5864437786C4}">
  <dimension ref="B1:BS47"/>
  <sheetViews>
    <sheetView showGridLines="0" topLeftCell="AG18" workbookViewId="0">
      <selection activeCell="AM30" sqref="AM30"/>
    </sheetView>
  </sheetViews>
  <sheetFormatPr defaultRowHeight="15"/>
  <cols>
    <col min="1" max="1" width="5.140625" customWidth="1"/>
    <col min="4" max="4" width="27.7109375" bestFit="1" customWidth="1"/>
    <col min="6" max="6" width="9.140625" bestFit="1" customWidth="1"/>
    <col min="31" max="31" width="17.42578125" bestFit="1" customWidth="1"/>
    <col min="32" max="32" width="19.85546875" bestFit="1" customWidth="1"/>
    <col min="33" max="33" width="19.140625" customWidth="1"/>
    <col min="34" max="42" width="17.7109375" bestFit="1" customWidth="1"/>
    <col min="43" max="43" width="17.7109375" customWidth="1"/>
    <col min="44" max="44" width="15.85546875" bestFit="1" customWidth="1"/>
    <col min="45" max="45" width="18.7109375" bestFit="1" customWidth="1"/>
    <col min="47" max="47" width="15" bestFit="1" customWidth="1"/>
    <col min="48" max="48" width="8.5703125" bestFit="1" customWidth="1"/>
    <col min="49" max="49" width="15.5703125" bestFit="1" customWidth="1"/>
    <col min="51" max="51" width="15.5703125" bestFit="1" customWidth="1"/>
    <col min="53" max="53" width="16" bestFit="1" customWidth="1"/>
    <col min="55" max="55" width="16" bestFit="1" customWidth="1"/>
    <col min="57" max="57" width="15.5703125" bestFit="1" customWidth="1"/>
    <col min="59" max="59" width="15.5703125" bestFit="1" customWidth="1"/>
    <col min="61" max="61" width="16" bestFit="1" customWidth="1"/>
    <col min="63" max="63" width="15.5703125" bestFit="1" customWidth="1"/>
    <col min="65" max="65" width="15.5703125" bestFit="1" customWidth="1"/>
    <col min="67" max="67" width="15.5703125" bestFit="1" customWidth="1"/>
    <col min="69" max="69" width="15.5703125" bestFit="1" customWidth="1"/>
    <col min="71" max="71" width="15.5703125" bestFit="1" customWidth="1"/>
  </cols>
  <sheetData>
    <row r="1" spans="2:71" ht="15" customHeight="1">
      <c r="G1" s="28"/>
      <c r="H1" s="28"/>
      <c r="I1" s="28"/>
      <c r="AE1" s="13"/>
      <c r="AF1" s="13" t="s">
        <v>23</v>
      </c>
      <c r="AG1" s="13" t="s">
        <v>96</v>
      </c>
      <c r="AH1" s="13" t="s">
        <v>144</v>
      </c>
      <c r="AI1" s="13" t="s">
        <v>183</v>
      </c>
      <c r="AJ1" s="13" t="s">
        <v>212</v>
      </c>
      <c r="AK1" s="13" t="s">
        <v>261</v>
      </c>
      <c r="AL1" s="13" t="s">
        <v>274</v>
      </c>
      <c r="AM1" s="13" t="s">
        <v>303</v>
      </c>
      <c r="AN1" s="13" t="s">
        <v>338</v>
      </c>
      <c r="AO1" s="13" t="s">
        <v>358</v>
      </c>
      <c r="AP1" s="13" t="s">
        <v>384</v>
      </c>
      <c r="AQ1" s="13" t="s">
        <v>408</v>
      </c>
      <c r="AU1" s="6">
        <v>2024</v>
      </c>
      <c r="AV1" s="187" t="s">
        <v>3210</v>
      </c>
      <c r="AW1" s="187"/>
      <c r="AX1" s="187" t="s">
        <v>3211</v>
      </c>
      <c r="AY1" s="187"/>
      <c r="AZ1" s="187" t="s">
        <v>3212</v>
      </c>
      <c r="BA1" s="187"/>
      <c r="BB1" s="187" t="s">
        <v>3213</v>
      </c>
      <c r="BC1" s="187"/>
      <c r="BD1" s="187" t="s">
        <v>3214</v>
      </c>
      <c r="BE1" s="187"/>
      <c r="BF1" s="187" t="s">
        <v>3215</v>
      </c>
      <c r="BG1" s="187"/>
      <c r="BH1" s="187" t="s">
        <v>3216</v>
      </c>
      <c r="BI1" s="187"/>
      <c r="BJ1" s="187" t="s">
        <v>3217</v>
      </c>
      <c r="BK1" s="187"/>
      <c r="BL1" s="187" t="s">
        <v>3218</v>
      </c>
      <c r="BM1" s="187"/>
      <c r="BN1" s="187" t="s">
        <v>3219</v>
      </c>
      <c r="BO1" s="187"/>
      <c r="BP1" s="187" t="s">
        <v>3220</v>
      </c>
      <c r="BQ1" s="187"/>
      <c r="BR1" s="187" t="s">
        <v>408</v>
      </c>
      <c r="BS1" s="187"/>
    </row>
    <row r="2" spans="2:71" ht="15" customHeight="1">
      <c r="B2" s="183" t="s">
        <v>3221</v>
      </c>
      <c r="C2" s="183"/>
      <c r="D2" s="184">
        <f>COUNTIFS('List Project'!C:C,"2024",'List Project'!P:P,"Done")+COUNTIFS('List Project'!C:C,"2024",'List Project'!P:P,"OGP")</f>
        <v>150</v>
      </c>
      <c r="E2" s="184"/>
      <c r="F2" s="39"/>
      <c r="G2" s="39"/>
      <c r="H2" s="39"/>
      <c r="I2" s="39"/>
      <c r="AE2" t="s">
        <v>3222</v>
      </c>
      <c r="AF2" s="18">
        <f>SUMIF('List Project'!D:D,"Januari",'List Project'!I:I)</f>
        <v>153238322332.44</v>
      </c>
      <c r="AG2" s="18">
        <f>SUMIF('List Project'!D:D,"Februari",'List Project'!I:I)</f>
        <v>107069815680.28</v>
      </c>
      <c r="AH2" s="18">
        <f>SUMIF('List Project'!D:D,"Maret",'List Project'!I:I)</f>
        <v>158846645854</v>
      </c>
      <c r="AI2" s="18">
        <f>SUMIF('List Project'!D:D,"April",'List Project'!I:I)</f>
        <v>21145067274</v>
      </c>
      <c r="AJ2" s="18">
        <f>SUMIF('List Project'!D:D,"Mei",'List Project'!I:I)</f>
        <v>117613354628</v>
      </c>
      <c r="AK2" s="18">
        <f>SUMIF('List Project'!D:D,"Juni",'List Project'!I:I)</f>
        <v>24387249911</v>
      </c>
      <c r="AL2" s="18">
        <f>SUMIF('List Project'!D:D,"Juli",'List Project'!I:I)</f>
        <v>25193979370</v>
      </c>
      <c r="AM2" s="18">
        <f>SUMIF('List Project'!D:D,"Agustus",'List Project'!I:I)</f>
        <v>95140991295</v>
      </c>
      <c r="AN2" s="18">
        <f>SUMIF('List Project'!D:D,"September",'List Project'!I:I)</f>
        <v>130158747297.10001</v>
      </c>
      <c r="AO2" s="18">
        <f>SUMIF('List Project'!D:D,"Oktober",'List Project'!I:I)</f>
        <v>301470394753.20001</v>
      </c>
      <c r="AP2" s="18">
        <f>SUMIF('List Project'!D:D,"November",'List Project'!I:I)</f>
        <v>46006119761</v>
      </c>
      <c r="AQ2" s="18">
        <f>SUMIF('List Project'!D:D,"Desember",'List Project'!I:I)</f>
        <v>1005993372947</v>
      </c>
      <c r="AR2" s="17">
        <f>SUM(AF2:AQ2)</f>
        <v>2186264061103.02</v>
      </c>
      <c r="AU2" s="7" t="s">
        <v>3223</v>
      </c>
      <c r="AV2" s="7" t="s">
        <v>3224</v>
      </c>
      <c r="AW2" s="7" t="s">
        <v>3225</v>
      </c>
      <c r="AX2" s="7" t="s">
        <v>3224</v>
      </c>
      <c r="AY2" s="7" t="s">
        <v>3225</v>
      </c>
      <c r="AZ2" s="7" t="s">
        <v>3224</v>
      </c>
      <c r="BA2" s="7" t="s">
        <v>3225</v>
      </c>
      <c r="BB2" s="7" t="s">
        <v>3224</v>
      </c>
      <c r="BC2" s="7" t="s">
        <v>3225</v>
      </c>
      <c r="BD2" s="7" t="s">
        <v>3224</v>
      </c>
      <c r="BE2" s="7" t="s">
        <v>3225</v>
      </c>
      <c r="BF2" s="7" t="s">
        <v>3224</v>
      </c>
      <c r="BG2" s="7" t="s">
        <v>3225</v>
      </c>
      <c r="BH2" s="7" t="s">
        <v>3224</v>
      </c>
      <c r="BI2" s="7" t="s">
        <v>3225</v>
      </c>
      <c r="BJ2" s="7" t="s">
        <v>3224</v>
      </c>
      <c r="BK2" s="7" t="s">
        <v>3225</v>
      </c>
      <c r="BL2" s="7" t="s">
        <v>3224</v>
      </c>
      <c r="BM2" s="7" t="s">
        <v>3225</v>
      </c>
      <c r="BN2" s="7" t="s">
        <v>3224</v>
      </c>
      <c r="BO2" s="7" t="s">
        <v>3225</v>
      </c>
      <c r="BP2" s="7" t="s">
        <v>3224</v>
      </c>
      <c r="BQ2" s="7" t="s">
        <v>3225</v>
      </c>
      <c r="BR2" s="7" t="s">
        <v>3224</v>
      </c>
      <c r="BS2" s="7" t="s">
        <v>3225</v>
      </c>
    </row>
    <row r="3" spans="2:71" ht="15" customHeight="1">
      <c r="B3" s="183"/>
      <c r="C3" s="183"/>
      <c r="D3" s="184"/>
      <c r="E3" s="184"/>
      <c r="F3" s="39"/>
      <c r="G3" s="39"/>
      <c r="H3" s="39"/>
      <c r="I3" s="39"/>
      <c r="AE3" t="s">
        <v>45</v>
      </c>
      <c r="AF3" s="18">
        <f>COUNTIFS('List Project'!D:D,"Januari",'List Project'!O:O,"Adi")</f>
        <v>2</v>
      </c>
      <c r="AG3" s="18">
        <f>COUNTIFS('List Project'!D:D,"Februari",'List Project'!O:O,"Adi")</f>
        <v>2</v>
      </c>
      <c r="AH3" s="18">
        <f>COUNTIFS('List Project'!D:D,"Maret",'List Project'!O:O,"Adi")</f>
        <v>1</v>
      </c>
      <c r="AI3" s="18">
        <f>COUNTIFS('List Project'!D:D,"April",'List Project'!O:O,"Adi")</f>
        <v>1</v>
      </c>
      <c r="AJ3" s="18">
        <f>COUNTIFS('List Project'!D:D,"Mei",'List Project'!O:O,"Adi")</f>
        <v>2</v>
      </c>
      <c r="AK3" s="18">
        <f>COUNTIFS('List Project'!D:D,"Juni",'List Project'!O:O,"Adi")</f>
        <v>0</v>
      </c>
      <c r="AL3" s="18">
        <f>COUNTIFS('List Project'!D:D,"Juli",'List Project'!O:O,"Adi")</f>
        <v>0</v>
      </c>
      <c r="AM3" s="18">
        <f>COUNTIFS('List Project'!D:D,"Agustus",'List Project'!O:O,"Adi")</f>
        <v>0</v>
      </c>
      <c r="AN3" s="18">
        <f>COUNTIFS('List Project'!D:D,"September",'List Project'!O:O,"Adi")</f>
        <v>1</v>
      </c>
      <c r="AO3" s="18">
        <f>COUNTIFS('List Project'!D:D,"Oktober",'List Project'!O:O,"Adi")</f>
        <v>2</v>
      </c>
      <c r="AP3" s="18">
        <f>COUNTIFS('List Project'!D:D,"November",'List Project'!O:O,"Adi")</f>
        <v>1</v>
      </c>
      <c r="AQ3" s="18">
        <f>COUNTIFS('List Project'!D:D,"Desember",'List Project'!O:O,"Adi")</f>
        <v>0</v>
      </c>
      <c r="AR3" s="17">
        <f>SUM(AF3:AQ3)</f>
        <v>12</v>
      </c>
      <c r="AS3" s="17">
        <f>SUMIF('List Project'!O:O,"Adi",'List Project'!I:I)</f>
        <v>124082524515</v>
      </c>
      <c r="AU3" s="8" t="s">
        <v>3226</v>
      </c>
      <c r="AV3" s="9">
        <f>COUNTIFS('List Order'!B:B,"Januari",'List Order'!I:I,"Nomor Akses",'List Order'!C:C,"2024")</f>
        <v>16</v>
      </c>
      <c r="AW3" s="14">
        <f>SUM(AW4:AW6)</f>
        <v>21777500</v>
      </c>
      <c r="AX3" s="9">
        <f>COUNTIFS('List Order'!B:B,"Februari",'List Order'!I:I,"Nomor Akses",'List Order'!C:C,"2024")</f>
        <v>10</v>
      </c>
      <c r="AY3" s="14">
        <f>SUM(AY4:AY6)</f>
        <v>10160000</v>
      </c>
      <c r="AZ3" s="9">
        <f>COUNTIFS('List Order'!B:B,"Maret",'List Order'!I:I,"Nomor Akses",'List Order'!C:C,"2024")</f>
        <v>7</v>
      </c>
      <c r="BA3" s="14">
        <f>SUM(BA4:BA6)</f>
        <v>7080000</v>
      </c>
      <c r="BB3" s="9">
        <f>COUNTIFS('List Order'!B:B,"April",'List Order'!I:I,"Nomor Akses",'List Order'!C:C,"2024")</f>
        <v>2</v>
      </c>
      <c r="BC3" s="14">
        <f>SUM(BC4:BC6)</f>
        <v>1500000</v>
      </c>
      <c r="BD3" s="9">
        <f>COUNTIFS('List Order'!B:B,"Mei",'List Order'!I:I,"Nomor Akses",'List Order'!C:C,"2024")</f>
        <v>19</v>
      </c>
      <c r="BE3" s="14">
        <f>SUM(BE4:BE6)</f>
        <v>0</v>
      </c>
      <c r="BF3" s="9">
        <f>COUNTIFS('List Order'!B:B,"Juni",'List Order'!I:I,"Nomor Akses",'List Order'!C:C,"2024")</f>
        <v>4</v>
      </c>
      <c r="BG3" s="14">
        <f>SUM(BG4:BG6)</f>
        <v>0</v>
      </c>
      <c r="BH3" s="9">
        <f>COUNTIFS('List Order'!B:B,"Juli",'List Order'!I:I,"Nomor Akses",'List Order'!C:C,"2024")</f>
        <v>23</v>
      </c>
      <c r="BI3" s="14">
        <f>SUM(BI4:BI6)</f>
        <v>0</v>
      </c>
      <c r="BJ3" s="9">
        <f>COUNTIFS('List Order'!B:B,"Agustus",'List Order'!I:I,"Nomor Akses",'List Order'!C:C,"2024")</f>
        <v>5</v>
      </c>
      <c r="BK3" s="14">
        <f>SUM(BK4:BK6)</f>
        <v>0</v>
      </c>
      <c r="BL3" s="9">
        <f>COUNTIFS('List Order'!B:B,"September",'List Order'!I:I,"Nomor Akses",'List Order'!C:C,"2024")</f>
        <v>8</v>
      </c>
      <c r="BM3" s="14">
        <f>SUM(BM4:BM6)</f>
        <v>0</v>
      </c>
      <c r="BN3" s="9">
        <f>COUNTIFS('List Order'!B:B,"Oktober",'List Order'!I:I,"Nomor Akses",'List Order'!C:C,"2024")</f>
        <v>12</v>
      </c>
      <c r="BO3" s="14">
        <f>SUM(BO4:BO6)</f>
        <v>9240000</v>
      </c>
      <c r="BP3" s="9">
        <f>COUNTIFS('List Order'!B:B,"November",'List Order'!I:I,"Nomor Akses",'List Order'!C:C,"2024")</f>
        <v>8</v>
      </c>
      <c r="BQ3" s="14">
        <f>SUM(BQ4:BQ6)</f>
        <v>8078000</v>
      </c>
      <c r="BR3" s="9">
        <f>COUNTIFS('List Order'!B:B,"Desember",'List Order'!I:I,"Nomor Akses",'List Order'!C:C,"2024")</f>
        <v>12</v>
      </c>
      <c r="BS3" s="14">
        <f>SUM(BS4:BS6)</f>
        <v>6740000</v>
      </c>
    </row>
    <row r="4" spans="2:71" ht="15" customHeight="1">
      <c r="B4" s="185" t="s">
        <v>3227</v>
      </c>
      <c r="C4" s="185"/>
      <c r="D4" s="186">
        <f>SUMIF('List Project'!C:C,"2024",'List Project'!I:I)</f>
        <v>407539404275</v>
      </c>
      <c r="E4" s="186"/>
      <c r="F4" s="39"/>
      <c r="G4" s="39"/>
      <c r="H4" s="39"/>
      <c r="I4" s="39"/>
      <c r="AE4" t="s">
        <v>51</v>
      </c>
      <c r="AF4" s="18">
        <f>COUNTIFS('List Project'!D:D,"Januari",'List Project'!O:O,"Dwi")</f>
        <v>12</v>
      </c>
      <c r="AG4" s="18">
        <f>COUNTIFS('List Project'!D:D,"Februari",'List Project'!O:O,"Dwi")</f>
        <v>12</v>
      </c>
      <c r="AH4" s="18">
        <f>COUNTIFS('List Project'!D:D,"Maret",'List Project'!O:O,"Dwi")</f>
        <v>10</v>
      </c>
      <c r="AI4" s="18">
        <f>COUNTIFS('List Project'!D:D,"April",'List Project'!O:O,"Dwi")</f>
        <v>7</v>
      </c>
      <c r="AJ4" s="18">
        <f>COUNTIFS('List Project'!D:D,"Mei",'List Project'!O:O,"Dwi")</f>
        <v>4</v>
      </c>
      <c r="AK4" s="18">
        <f>COUNTIFS('List Project'!D:D,"Juni",'List Project'!O:O,"Dwi")</f>
        <v>5</v>
      </c>
      <c r="AL4" s="18">
        <f>COUNTIFS('List Project'!D:D,"Juli",'List Project'!O:O,"Dwi")</f>
        <v>9</v>
      </c>
      <c r="AM4" s="18">
        <f>COUNTIFS('List Project'!D:D,"Agustus",'List Project'!O:O,"Dwi")</f>
        <v>4</v>
      </c>
      <c r="AN4" s="18">
        <f>COUNTIFS('List Project'!D:D,"September",'List Project'!O:O,"Dwi")</f>
        <v>3</v>
      </c>
      <c r="AO4" s="18">
        <f>COUNTIFS('List Project'!D:D,"Oktober",'List Project'!O:O,"Dwi")</f>
        <v>6</v>
      </c>
      <c r="AP4" s="18">
        <f>COUNTIFS('List Project'!D:D,"November",'List Project'!O:O,"Dwi")</f>
        <v>9</v>
      </c>
      <c r="AQ4" s="18">
        <f>COUNTIFS('List Project'!D:D,"Desember",'List Project'!O:O,"Dwi")</f>
        <v>4</v>
      </c>
      <c r="AR4" s="17">
        <f>SUM(AF4:AQ4)</f>
        <v>85</v>
      </c>
      <c r="AS4" s="17">
        <f>SUMIF('List Project'!O:O,"Dwi",'List Project'!I:I)</f>
        <v>439867703148.68005</v>
      </c>
      <c r="AU4" s="1" t="s">
        <v>967</v>
      </c>
      <c r="AV4" s="3">
        <f>COUNTIFS('List Order'!C:C,"2024",'List Order'!B:B,"Januari",'List Order'!H:H,"Aktivasi",'List Order'!I:I,"Nomor Akses")</f>
        <v>3</v>
      </c>
      <c r="AW4" s="15">
        <f>SUMIFS('List Order'!T:T,'List Order'!C:C,"2024",'List Order'!B:B,"Januari",'List Order'!H:H,"Aktivasi",'List Order'!I:I,"Nomor Akses")</f>
        <v>5580000</v>
      </c>
      <c r="AX4" s="3">
        <f>COUNTIFS('List Order'!C:C,"2024",'List Order'!B:B,"Februari",'List Order'!H:H,"Aktivasi",'List Order'!I:I,"Nomor Akses")</f>
        <v>6</v>
      </c>
      <c r="AY4" s="15">
        <f>SUMIFS('List Order'!T:T,'List Order'!C:C,"2024",'List Order'!B:B,"Februari",'List Order'!H:H,"Aktivasi",'List Order'!I:I,"Nomor Akses")</f>
        <v>8660000</v>
      </c>
      <c r="AZ4" s="3">
        <f>COUNTIFS('List Order'!C:C,"2024",'List Order'!B:B,"Maret",'List Order'!H:H,"Aktivasi",'List Order'!I:I,"Nomor Akses")</f>
        <v>3</v>
      </c>
      <c r="BA4" s="15">
        <f>SUMIFS('List Order'!T:T,'List Order'!C:C,"2024",'List Order'!B:B,"Maret",'List Order'!H:H,"Aktivasi",'List Order'!I:I,"Nomor Akses")</f>
        <v>5580000</v>
      </c>
      <c r="BB4" s="3">
        <f>COUNTIFS('List Order'!C:C,"2024",'List Order'!B:B,"April",'List Order'!H:H,"Aktivasi",'List Order'!I:I,"Nomor Akses")</f>
        <v>0</v>
      </c>
      <c r="BC4" s="15">
        <f>SUMIFS('List Order'!T:T,'List Order'!C:C,"2024",'List Order'!B:B,"April",'List Order'!H:H,"Aktivasi",'List Order'!I:I,"Nomor Akses")</f>
        <v>0</v>
      </c>
      <c r="BD4" s="3">
        <f>COUNTIFS('List Order'!C:C,"2024",'List Order'!B:B,"Mei",'List Order'!H:H,"Aktivasi",'List Order'!I:I,"Nomor Akses")</f>
        <v>7</v>
      </c>
      <c r="BE4" s="15">
        <f>SUMIFS('List Order'!T:T,'List Order'!C:C,"2024",'List Order'!B:B,"Mei",'List Order'!H:H,"Aktivasi",'List Order'!I:I,"Nomor Akses")</f>
        <v>0</v>
      </c>
      <c r="BF4" s="3">
        <f>COUNTIFS('List Order'!C:C,"2024",'List Order'!B:B,"Juni",'List Order'!H:H,"Aktivasi",'List Order'!I:I,"Nomor Akses")</f>
        <v>2</v>
      </c>
      <c r="BG4" s="15">
        <f>SUMIFS('List Order'!T:T,'List Order'!C:C,"2024",'List Order'!B:B,"Juni",'List Order'!H:H,"Aktivasi",'List Order'!I:I,"Nomor Akses")</f>
        <v>0</v>
      </c>
      <c r="BH4" s="3">
        <f>COUNTIFS('List Order'!C:C,"2024",'List Order'!B:B,"Juli",'List Order'!H:H,"Aktivasi",'List Order'!I:I,"Nomor Akses")</f>
        <v>18</v>
      </c>
      <c r="BI4" s="15">
        <f>SUMIFS('List Order'!T:T,'List Order'!C:C,"2024",'List Order'!B:B,"Juli",'List Order'!H:H,"Aktivasi",'List Order'!I:I,"Nomor Akses")</f>
        <v>0</v>
      </c>
      <c r="BJ4" s="3">
        <f>COUNTIFS('List Order'!C:C,"2024",'List Order'!B:B,"Agustus",'List Order'!H:H,"Aktivasi",'List Order'!I:I,"Nomor Akses")</f>
        <v>1</v>
      </c>
      <c r="BK4" s="15">
        <f>SUMIFS('List Order'!T:T,'List Order'!C:C,"2024",'List Order'!B:B,"Agustus",'List Order'!H:H,"Aktivasi",'List Order'!I:I,"Nomor Akses")</f>
        <v>0</v>
      </c>
      <c r="BL4" s="3">
        <f>COUNTIFS('List Order'!C:C,"2024",'List Order'!B:B,"September",'List Order'!H:H,"Aktivasi",'List Order'!I:I,"Nomor Akses")</f>
        <v>3</v>
      </c>
      <c r="BM4" s="15">
        <f>SUMIFS('List Order'!T:T,'List Order'!C:C,"2024",'List Order'!B:B,"September",'List Order'!H:H,"Aktivasi",'List Order'!I:I,"Nomor Akses")</f>
        <v>0</v>
      </c>
      <c r="BN4" s="3">
        <f>COUNTIFS('List Order'!C:C,"2024",'List Order'!B:B,"Oktober",'List Order'!H:H,"Aktivasi",'List Order'!I:I,"Nomor Akses")</f>
        <v>7</v>
      </c>
      <c r="BO4" s="15">
        <f>SUMIFS('List Order'!T:T,'List Order'!C:C,"2024",'List Order'!B:B,"Oktober",'List Order'!H:H,"Aktivasi",'List Order'!I:I,"Nomor Akses")</f>
        <v>9240000</v>
      </c>
      <c r="BP4" s="3">
        <f>COUNTIFS('List Order'!C:C,"2024",'List Order'!B:B,"November",'List Order'!H:H,"Aktivasi",'List Order'!I:I,"Nomor Akses")</f>
        <v>4</v>
      </c>
      <c r="BQ4" s="15">
        <f>SUMIFS('List Order'!T:T,'List Order'!C:C,"2024",'List Order'!B:B,"November",'List Order'!H:H,"Aktivasi",'List Order'!I:I,"Nomor Akses")</f>
        <v>8078000</v>
      </c>
      <c r="BR4" s="3">
        <f>COUNTIFS('List Order'!C:C,"2024",'List Order'!B:B,"Desember",'List Order'!H:H,"Aktivasi",'List Order'!I:I,"Nomor Akses")</f>
        <v>8</v>
      </c>
      <c r="BS4" s="15">
        <f>SUMIFS('List Order'!T:T,'List Order'!C:C,"2024",'List Order'!B:B,"Desember",'List Order'!H:H,"Aktivasi")</f>
        <v>6740000</v>
      </c>
    </row>
    <row r="5" spans="2:71" ht="15" customHeight="1">
      <c r="B5" s="185"/>
      <c r="C5" s="185"/>
      <c r="D5" s="186"/>
      <c r="E5" s="186"/>
      <c r="F5" s="38"/>
      <c r="G5" s="38"/>
      <c r="H5" s="38"/>
      <c r="I5" s="38"/>
      <c r="AE5" t="s">
        <v>31</v>
      </c>
      <c r="AF5" s="18">
        <f>COUNTIFS('List Project'!D:D,"Januari",'List Project'!O:O,"Duta")</f>
        <v>26</v>
      </c>
      <c r="AG5" s="18">
        <f>COUNTIFS('List Project'!D:D,"Februari",'List Project'!O:O,"Duta")</f>
        <v>14</v>
      </c>
      <c r="AH5" s="18">
        <f>COUNTIFS('List Project'!D:D,"Maret",'List Project'!O:O,"Duta")</f>
        <v>11</v>
      </c>
      <c r="AI5" s="18">
        <f>COUNTIFS('List Project'!D:D,"April",'List Project'!O:O,"Duta")</f>
        <v>8</v>
      </c>
      <c r="AJ5" s="18">
        <f>COUNTIFS('List Project'!D:D,"Mei",'List Project'!O:O,"Duta")</f>
        <v>10</v>
      </c>
      <c r="AK5" s="18">
        <f>COUNTIFS('List Project'!D:D,"Juni",'List Project'!O:O,"Duta")</f>
        <v>7</v>
      </c>
      <c r="AL5" s="18">
        <f>COUNTIFS('List Project'!D:D,"Juli",'List Project'!O:O,"Duta")</f>
        <v>6</v>
      </c>
      <c r="AM5" s="18">
        <f>COUNTIFS('List Project'!D:D,"Agustus",'List Project'!O:O,"Duta")</f>
        <v>12</v>
      </c>
      <c r="AN5" s="18">
        <f>COUNTIFS('List Project'!D:D,"September",'List Project'!O:O,"Duta")</f>
        <v>5</v>
      </c>
      <c r="AO5" s="18">
        <f>COUNTIFS('List Project'!D:D,"Oktober",'List Project'!O:O,"Duta")</f>
        <v>8</v>
      </c>
      <c r="AP5" s="18">
        <f>COUNTIFS('List Project'!D:D,"November",'List Project'!O:O,"Duta")</f>
        <v>9</v>
      </c>
      <c r="AQ5" s="18">
        <f>COUNTIFS('List Project'!D:D,"Desember",'List Project'!O:O,"Duta")</f>
        <v>5</v>
      </c>
      <c r="AR5" s="17">
        <f>SUM(AF5:AQ5)</f>
        <v>121</v>
      </c>
      <c r="AS5" s="17">
        <f>SUMIF('List Project'!O:O,"Duta",'List Project'!I:I)</f>
        <v>331726604998.56</v>
      </c>
      <c r="AU5" s="1" t="s">
        <v>985</v>
      </c>
      <c r="AV5" s="3">
        <f>COUNTIFS('List Order'!C:C,"2024",'List Order'!B:B,"Januari",'List Order'!H:H,"Novasi",'List Order'!I:I,"Nomor Akses")</f>
        <v>8</v>
      </c>
      <c r="AW5" s="15">
        <f>SUMIFS('List Order'!T:T,'List Order'!C:C,"2024",'List Order'!B:B,"Januari",'List Order'!H:H,"Novasi",'List Order'!I:I,"Nomor Akses")</f>
        <v>14697500</v>
      </c>
      <c r="AX5" s="3">
        <f>COUNTIFS('List Order'!C:C,"2024",'List Order'!B:B,"Februari",'List Order'!H:H,"Novasi",'List Order'!I:I,"Nomor Akses")</f>
        <v>1</v>
      </c>
      <c r="AY5" s="15">
        <f>SUMIFS('List Order'!T:T,'List Order'!C:C,"2024",'List Order'!B:B,"Februari",'List Order'!H:H,"Novasi",'List Order'!I:I,"Nomor Akses")</f>
        <v>1500000</v>
      </c>
      <c r="AZ5" s="3">
        <f>COUNTIFS('List Order'!C:C,"2024",'List Order'!B:B,"Maret",'List Order'!H:H,"Novasi",'List Order'!I:I,"Nomor Akses")</f>
        <v>2</v>
      </c>
      <c r="BA5" s="15">
        <f>SUMIFS('List Order'!T:T,'List Order'!C:C,"2024",'List Order'!B:B,"Maret",'List Order'!H:H,"Novasi",'List Order'!I:I,"Nomor Akses")</f>
        <v>1500000</v>
      </c>
      <c r="BB5" s="3">
        <f>COUNTIFS('List Order'!C:C,"2024",'List Order'!B:B,"April",'List Order'!H:H,"Novasi",'List Order'!I:I,"Nomor Akses")</f>
        <v>1</v>
      </c>
      <c r="BC5" s="15">
        <f>SUMIFS('List Order'!T:T,'List Order'!C:C,"2024",'List Order'!B:B,"April",'List Order'!H:H,"Novasi",'List Order'!I:I,"Nomor Akses")</f>
        <v>1500000</v>
      </c>
      <c r="BD5" s="3">
        <f>COUNTIFS('List Order'!C:C,"2024",'List Order'!B:B,"Mei",'List Order'!H:H,"Novasi",'List Order'!I:I,"Nomor Akses")</f>
        <v>5</v>
      </c>
      <c r="BE5" s="15">
        <f>SUMIFS('List Order'!T:T,'List Order'!C:C,"2024",'List Order'!B:B,"Mei",'List Order'!H:H,"Novasi",'List Order'!I:I,"Nomor Akses")</f>
        <v>0</v>
      </c>
      <c r="BF5" s="3">
        <f>COUNTIFS('List Order'!C:C,"2024",'List Order'!B:B,"Juni",'List Order'!H:H,"Novasi",'List Order'!I:I,"Nomor Akses")</f>
        <v>0</v>
      </c>
      <c r="BG5" s="15">
        <f>SUMIFS('List Order'!T:T,'List Order'!C:C,"2024",'List Order'!B:B,"Juni",'List Order'!H:H,"Novasi",'List Order'!I:I,"Nomor Akses")</f>
        <v>0</v>
      </c>
      <c r="BH5" s="3">
        <f>COUNTIFS('List Order'!C:C,"2024",'List Order'!B:B,"Juli",'List Order'!H:H,"Novasi",'List Order'!I:I,"Nomor Akses")</f>
        <v>1</v>
      </c>
      <c r="BI5" s="15">
        <f>SUMIFS('List Order'!T:T,'List Order'!C:C,"2024",'List Order'!B:B,"Juli",'List Order'!H:H,"Novasi",'List Order'!I:I,"Nomor Akses")</f>
        <v>0</v>
      </c>
      <c r="BJ5" s="3">
        <f>COUNTIFS('List Order'!C:C,"2024",'List Order'!B:B,"Agustus",'List Order'!H:H,"Novasi",'List Order'!I:I,"Nomor Akses")</f>
        <v>2</v>
      </c>
      <c r="BK5" s="15">
        <f>SUMIFS('List Order'!T:T,'List Order'!C:C,"2024",'List Order'!B:B,"Agustus",'List Order'!H:H,"Novasi",'List Order'!I:I,"Nomor Akses")</f>
        <v>0</v>
      </c>
      <c r="BL5" s="3">
        <f>COUNTIFS('List Order'!C:C,"2024",'List Order'!B:B,"September",'List Order'!H:H,"Novasi",'List Order'!I:I,"Nomor Akses")</f>
        <v>1</v>
      </c>
      <c r="BM5" s="15">
        <f>SUMIFS('List Order'!T:T,'List Order'!C:C,"2024",'List Order'!B:B,"September",'List Order'!H:H,"Novasi",'List Order'!I:I,"Nomor Akses")</f>
        <v>0</v>
      </c>
      <c r="BN5" s="3">
        <f>COUNTIFS('List Order'!C:C,"2024",'List Order'!B:B,"Oktober",'List Order'!H:H,"Novasi",'List Order'!I:I,"Nomor Akses")</f>
        <v>1</v>
      </c>
      <c r="BO5" s="15">
        <f>SUMIFS('List Order'!T:T,'List Order'!C:C,"2024",'List Order'!B:B,"Oktober",'List Order'!H:H,"Novasi",'List Order'!I:I,"Nomor Akses")</f>
        <v>0</v>
      </c>
      <c r="BP5" s="3">
        <f>COUNTIFS('List Order'!C:C,"2024",'List Order'!B:B,"November",'List Order'!H:H,"Novasi",'List Order'!I:I,"Nomor Akses")</f>
        <v>0</v>
      </c>
      <c r="BQ5" s="15">
        <f>SUMIFS('List Order'!T:T,'List Order'!C:C,"2024",'List Order'!B:B,"November",'List Order'!H:H,"Novasi",'List Order'!I:I,"Nomor Akses")</f>
        <v>0</v>
      </c>
      <c r="BR5" s="3">
        <f>COUNTIFS('List Order'!C:C,"2024",'List Order'!B:B,"Desember",'List Order'!H:H,"Novasi",'List Order'!I:I,"Nomor Akses")</f>
        <v>1</v>
      </c>
      <c r="BS5" s="15">
        <f>SUMIFS('List Order'!T:T,'List Order'!C:C,"2024",'List Order'!B:B,"Desember",'List Order'!H:H,"Novasi")</f>
        <v>0</v>
      </c>
    </row>
    <row r="6" spans="2:71" ht="15" customHeight="1">
      <c r="B6" s="29"/>
      <c r="C6" s="29"/>
      <c r="D6" s="29"/>
      <c r="E6" s="29"/>
      <c r="F6" s="38"/>
      <c r="G6" s="38"/>
      <c r="H6" s="38"/>
      <c r="I6" s="38"/>
      <c r="AE6" t="s">
        <v>69</v>
      </c>
      <c r="AF6" s="18">
        <f>COUNTIFS('List Project'!D:D,"Januari",'List Project'!O:O,"Gugum")</f>
        <v>9</v>
      </c>
      <c r="AG6" s="18">
        <f>COUNTIFS('List Project'!D:D,"Februari",'List Project'!O:O,"Gugum")</f>
        <v>6</v>
      </c>
      <c r="AH6" s="18">
        <f>COUNTIFS('List Project'!D:D,"Maret",'List Project'!O:O,"Gugum")</f>
        <v>9</v>
      </c>
      <c r="AI6" s="18">
        <f>COUNTIFS('List Project'!D:D,"April",'List Project'!O:O,"Gugum")</f>
        <v>5</v>
      </c>
      <c r="AJ6" s="18">
        <f>COUNTIFS('List Project'!D:D,"Mei",'List Project'!O:O,"Gugum")</f>
        <v>11</v>
      </c>
      <c r="AK6" s="18">
        <f>COUNTIFS('List Project'!D:D,"Juni",'List Project'!O:O,"Gugum")</f>
        <v>5</v>
      </c>
      <c r="AL6" s="18">
        <f>COUNTIFS('List Project'!D:D,"Juli",'List Project'!O:O,"Gugum")</f>
        <v>20</v>
      </c>
      <c r="AM6" s="18">
        <f>COUNTIFS('List Project'!D:D,"Agustus",'List Project'!O:O,"Gugum")</f>
        <v>10</v>
      </c>
      <c r="AN6" s="18">
        <f>COUNTIFS('List Project'!D:D,"September",'List Project'!O:O,"Gugum")</f>
        <v>8</v>
      </c>
      <c r="AO6" s="18">
        <f>COUNTIFS('List Project'!D:D,"Oktober",'List Project'!O:O,"Gugum")</f>
        <v>6</v>
      </c>
      <c r="AP6" s="18">
        <f>COUNTIFS('List Project'!D:D,"November",'List Project'!O:O,"Gugum")</f>
        <v>1</v>
      </c>
      <c r="AQ6" s="18">
        <f>COUNTIFS('List Project'!D:D,"Desember",'List Project'!O:O,"Gugum")</f>
        <v>7</v>
      </c>
      <c r="AR6" s="17">
        <f>SUM(AF6:AQ6)</f>
        <v>97</v>
      </c>
      <c r="AS6" s="17">
        <f>SUMIF('List Project'!O:O,"Gugum",'List Project'!I:I)</f>
        <v>1290376508440.78</v>
      </c>
      <c r="AU6" s="1" t="s">
        <v>1364</v>
      </c>
      <c r="AV6" s="3">
        <f>COUNTIFS('List Order'!C:C,"2024",'List Order'!B:B,"Januari",'List Order'!H:H,"Modified",'List Order'!I:I,"Nomor Akses")</f>
        <v>1</v>
      </c>
      <c r="AW6" s="15">
        <f>SUMIFS('List Order'!T:T,'List Order'!C:C,"2024",'List Order'!B:B,"Januari",'List Order'!H:H,"Modified",'List Order'!I:I,"Nomor Akses")</f>
        <v>1500000</v>
      </c>
      <c r="AX6" s="3">
        <f>COUNTIFS('List Order'!C:C,"2024",'List Order'!B:B,"Februari",'List Order'!H:H,"Modified",'List Order'!I:I,"Nomor Akses")</f>
        <v>0</v>
      </c>
      <c r="AY6" s="15">
        <f>SUMIFS('List Order'!T:T,'List Order'!C:C,"2024",'List Order'!B:B,"Februari",'List Order'!H:H,"Modified",'List Order'!I:I,"Nomor Akses")</f>
        <v>0</v>
      </c>
      <c r="AZ6" s="3">
        <f>COUNTIFS('List Order'!C:C,"2024",'List Order'!B:B,"Maret",'List Order'!H:H,"Modified",'List Order'!I:I,"Nomor Akses")</f>
        <v>0</v>
      </c>
      <c r="BA6" s="15">
        <f>SUMIFS('List Order'!T:T,'List Order'!C:C,"2024",'List Order'!B:B,"Maret",'List Order'!H:H,"Modified",'List Order'!I:I,"Nomor Akses")</f>
        <v>0</v>
      </c>
      <c r="BB6" s="3">
        <f>COUNTIFS('List Order'!C:C,"2024",'List Order'!B:B,"April",'List Order'!H:H,"Modified",'List Order'!I:I,"Nomor Akses")</f>
        <v>0</v>
      </c>
      <c r="BC6" s="15">
        <f>SUMIFS('List Order'!T:T,'List Order'!C:C,"2024",'List Order'!B:B,"April",'List Order'!H:H,"Modified",'List Order'!I:I,"Nomor Akses")</f>
        <v>0</v>
      </c>
      <c r="BD6" s="3">
        <f>COUNTIFS('List Order'!C:C,"2024",'List Order'!B:B,"Mei",'List Order'!H:H,"Modified",'List Order'!I:I,"Nomor Akses")</f>
        <v>1</v>
      </c>
      <c r="BE6" s="15">
        <f>SUMIFS('List Order'!T:T,'List Order'!C:C,"2024",'List Order'!B:B,"Mei",'List Order'!H:H,"Modified",'List Order'!I:I,"Nomor Akses")</f>
        <v>0</v>
      </c>
      <c r="BF6" s="3">
        <f>COUNTIFS('List Order'!C:C,"2024",'List Order'!B:B,"Juni",'List Order'!H:H,"Modified",'List Order'!I:I,"Nomor Akses")</f>
        <v>1</v>
      </c>
      <c r="BG6" s="15">
        <f>SUMIFS('List Order'!T:T,'List Order'!C:C,"2024",'List Order'!B:B,"Juni",'List Order'!H:H,"Modified",'List Order'!I:I,"Nomor Akses")</f>
        <v>0</v>
      </c>
      <c r="BH6" s="3">
        <f>COUNTIFS('List Order'!C:C,"2024",'List Order'!B:B,"Juni",'List Order'!H:H,"Modified",'List Order'!I:I,"Nomor Akses")</f>
        <v>1</v>
      </c>
      <c r="BI6" s="15">
        <f>SUMIFS('List Order'!T:T,'List Order'!C:C,"2024",'List Order'!B:B,"Juli",'List Order'!H:H,"Modified",'List Order'!I:I,"Nomor Akses")</f>
        <v>0</v>
      </c>
      <c r="BJ6" s="3">
        <f>COUNTIFS('List Order'!C:C,"2024",'List Order'!B:B,"Agustus",'List Order'!H:H,"Modified",'List Order'!I:I,"Nomor Akses")</f>
        <v>0</v>
      </c>
      <c r="BK6" s="15">
        <f>SUMIFS('List Order'!T:T,'List Order'!C:C,"2024",'List Order'!B:B,"Agustus",'List Order'!H:H,"Modified",'List Order'!I:I,"Nomor Akses")</f>
        <v>0</v>
      </c>
      <c r="BL6" s="3">
        <f>COUNTIFS('List Order'!C:C,"2024",'List Order'!B:B,"September",'List Order'!H:H,"Modified",'List Order'!I:I,"Nomor Akses")</f>
        <v>0</v>
      </c>
      <c r="BM6" s="15">
        <f>SUMIFS('List Order'!T:T,'List Order'!C:C,"2024",'List Order'!B:B,"September",'List Order'!H:H,"Modified",'List Order'!I:I,"Nomor Akses")</f>
        <v>0</v>
      </c>
      <c r="BN6" s="3">
        <f>COUNTIFS('List Order'!C:C,"2024",'List Order'!B:B,"Oktober",'List Order'!H:H,"Modified",'List Order'!I:I,"Nomor Akses")</f>
        <v>2</v>
      </c>
      <c r="BO6" s="15">
        <f>SUMIFS('List Order'!T:T,'List Order'!C:C,"2024",'List Order'!B:B,"Oktober",'List Order'!H:H,"Modified",'List Order'!I:I,"Nomor Akses")</f>
        <v>0</v>
      </c>
      <c r="BP6" s="3">
        <f>COUNTIFS('List Order'!C:C,"2024",'List Order'!B:B,"November",'List Order'!H:H,"Modified",'List Order'!I:I,"Nomor Akses")</f>
        <v>0</v>
      </c>
      <c r="BQ6" s="15">
        <f>SUMIFS('List Order'!T:T,'List Order'!C:C,"2024",'List Order'!B:B,"November",'List Order'!H:H,"Modified",'List Order'!I:I,"Nomor Akses")</f>
        <v>0</v>
      </c>
      <c r="BR6" s="3">
        <f>COUNTIFS('List Order'!C:C,"2024",'List Order'!B:B,"Desember",'List Order'!H:H,"Modified",'List Order'!I:I,"Nomor Akses")</f>
        <v>0</v>
      </c>
      <c r="BS6" s="15">
        <f>SUMIFS('List Order'!T:T,'List Order'!C:C,"2024",'List Order'!B:B,"Desember",'List Order'!H:H,"Modified")</f>
        <v>0</v>
      </c>
    </row>
    <row r="7" spans="2:71" ht="15" customHeight="1">
      <c r="B7" s="29"/>
      <c r="C7" s="29"/>
      <c r="D7" s="29"/>
      <c r="E7" s="29"/>
      <c r="F7" s="38"/>
      <c r="G7" s="38"/>
      <c r="H7" s="38"/>
      <c r="I7" s="38"/>
      <c r="AE7" t="s">
        <v>3228</v>
      </c>
      <c r="AF7" s="17">
        <f>SUMIFS('List Project'!I:I,'List Project'!D:D,"Januari",'List Project'!F:F,"CRM")</f>
        <v>148365866296.44</v>
      </c>
      <c r="AG7" s="17">
        <f>SUMIFS('List Project'!I:I,'List Project'!D:D,"Februari",'List Project'!F:F,"CRM")</f>
        <v>87567997075.279999</v>
      </c>
      <c r="AH7" s="17">
        <f>SUMIFS('List Project'!I:I,'List Project'!D:D,"Maret",'List Project'!F:F,"CRM")</f>
        <v>145799747591</v>
      </c>
      <c r="AI7" s="17">
        <f>SUMIFS('List Project'!I:I,'List Project'!D:D,"April",'List Project'!F:F,"CRM")</f>
        <v>8682353274</v>
      </c>
      <c r="AJ7" s="17">
        <f>SUMIFS('List Project'!I:I,'List Project'!D:D,"Mei",'List Project'!F:F,"CRM")</f>
        <v>113902049174</v>
      </c>
      <c r="AK7" s="17">
        <f>SUMIFS('List Project'!I:I,'List Project'!D:D,"Juni",'List Project'!F:F,"CRM")</f>
        <v>23771281911</v>
      </c>
      <c r="AL7" s="17">
        <f>SUMIFS('List Project'!I:I,'List Project'!D:D,"Juli",'List Project'!F:F,"CRM")</f>
        <v>21863193244</v>
      </c>
      <c r="AM7" s="17">
        <f>SUMIFS('List Project'!I:I,'List Project'!D:D,"Agustus",'List Project'!F:F,"CRM")</f>
        <v>91198761295</v>
      </c>
      <c r="AN7" s="17">
        <f>SUMIFS('List Project'!I:I,'List Project'!D:D,"September",'List Project'!F:F,"CRM")</f>
        <v>129130407297.10001</v>
      </c>
      <c r="AO7" s="17">
        <f>SUMIFS('List Project'!I:I,'List Project'!D:D,"Oktober",'List Project'!F:F,"CRM")</f>
        <v>300485926753.20001</v>
      </c>
      <c r="AP7" s="17">
        <f>SUMIFS('List Project'!I:I,'List Project'!D:D,"November",'List Project'!F:F,"CRM")</f>
        <v>44627615761</v>
      </c>
      <c r="AQ7" s="17">
        <f>SUMIFS('List Project'!I:I,'List Project'!D:D,"Desember",'List Project'!F:F,"CRM")</f>
        <v>1005724372947</v>
      </c>
      <c r="AR7" s="17">
        <f t="shared" ref="AR7:AR9" si="0">SUM(AF7:AQ7)</f>
        <v>2121119572619.02</v>
      </c>
      <c r="AU7" s="1" t="s">
        <v>3229</v>
      </c>
      <c r="AV7" s="3">
        <f>COUNTIFS('List Order'!C:C,"2024",'List Order'!B:B,"Januari",'List Order'!H:H,"Dismantle",'List Order'!I:I,"Nomor Akses")</f>
        <v>4</v>
      </c>
      <c r="AW7" s="15">
        <f>SUMIFS('List Order'!T:T,'List Order'!C:C,"2024",'List Order'!B:B,"Januari",'List Order'!H:H,"Dismantle",'List Order'!I:I,"Nomor Akses")</f>
        <v>8000000</v>
      </c>
      <c r="AX7" s="3">
        <f>COUNTIFS('List Order'!C:C,"2024",'List Order'!B:B,"Februari",'List Order'!H:H,"Dismantle",'List Order'!I:I,"Nomor Akses")</f>
        <v>3</v>
      </c>
      <c r="AY7" s="15">
        <f>SUMIFS('List Order'!T:T,'List Order'!C:C,"2024",'List Order'!B:B,"Februari",'List Order'!H:H,"Dismantle",'List Order'!I:I,"Nomor Akses")</f>
        <v>4580000</v>
      </c>
      <c r="AZ7" s="3">
        <f>COUNTIFS('List Order'!C:C,"2024",'List Order'!B:B,"Maret",'List Order'!H:H,"Dismantle",'List Order'!I:I,"Nomor Akses")</f>
        <v>2</v>
      </c>
      <c r="BA7" s="15">
        <f>SUMIFS('List Order'!T:T,'List Order'!C:C,"2024",'List Order'!B:B,"Maret",'List Order'!H:H,"Dismantle",'List Order'!I:I,"Nomor Akses")</f>
        <v>4500000</v>
      </c>
      <c r="BB7" s="3">
        <f>COUNTIFS('List Order'!C:C,"2024",'List Order'!B:B,"April",'List Order'!H:H,"Dismantle",'List Order'!I:I,"Nomor Akses")</f>
        <v>1</v>
      </c>
      <c r="BC7" s="15">
        <f>SUMIFS('List Order'!T:T,'List Order'!C:C,"2024",'List Order'!B:B,"April",'List Order'!H:H,"Dismantle",'List Order'!I:I,"Nomor Akses")</f>
        <v>2325000</v>
      </c>
      <c r="BD7" s="3">
        <f>COUNTIFS('List Order'!C:C,"2024",'List Order'!B:B,"Mei",'List Order'!H:H,"Dismantle",'List Order'!I:I,"Nomor Akses")</f>
        <v>6</v>
      </c>
      <c r="BE7" s="15">
        <f>SUMIFS('List Order'!T:T,'List Order'!C:C,"2024",'List Order'!B:B,"Mei",'List Order'!H:H,"Dismantle",'List Order'!I:I,"Nomor Akses")</f>
        <v>9000000</v>
      </c>
      <c r="BF7" s="3">
        <f>COUNTIFS('List Order'!C:C,"2024",'List Order'!B:B,"Juni",'List Order'!H:H,"Dismantle",'List Order'!I:I,"Nomor Akses")</f>
        <v>1</v>
      </c>
      <c r="BG7" s="15">
        <f>SUMIFS('List Order'!T:T,'List Order'!C:C,"2024",'List Order'!B:B,"Juni",'List Order'!H:H,"Dismantle",'List Order'!I:I,"Nomor Akses")</f>
        <v>0</v>
      </c>
      <c r="BH7" s="3">
        <f>COUNTIFS('List Order'!C:C,"2024",'List Order'!B:B,"Juli",'List Order'!H:H,"Dismantle",'List Order'!I:I,"Nomor Akses")</f>
        <v>4</v>
      </c>
      <c r="BI7" s="15">
        <f>SUMIFS('List Order'!T:T,'List Order'!C:C,"2024",'List Order'!B:B,"Juli",'List Order'!H:H,"Dismantle",'List Order'!I:I,"Nomor Akses")</f>
        <v>0</v>
      </c>
      <c r="BJ7" s="3">
        <f>COUNTIFS('List Order'!C:C,"2024",'List Order'!B:B,"Agustus",'List Order'!H:H,"Dismantle",'List Order'!I:I,"Nomor Akses")</f>
        <v>2</v>
      </c>
      <c r="BK7" s="15">
        <f>SUMIFS('List Order'!T:T,'List Order'!C:C,"2024",'List Order'!B:B,"Agustus",'List Order'!H:H,"Dismantle",'List Order'!I:I,"Nomor Akses")</f>
        <v>0</v>
      </c>
      <c r="BL7" s="3">
        <f>COUNTIFS('List Order'!C:C,"2024",'List Order'!B:B,"September",'List Order'!H:H,"Dismantle",'List Order'!I:I,"Nomor Akses")</f>
        <v>4</v>
      </c>
      <c r="BM7" s="15">
        <f>SUMIFS('List Order'!T:T,'List Order'!C:C,"2024",'List Order'!B:B,"September",'List Order'!H:H,"Dismantle",'List Order'!I:I,"Nomor Akses")</f>
        <v>0</v>
      </c>
      <c r="BN7" s="3">
        <f>COUNTIFS('List Order'!C:C,"2024",'List Order'!B:B,"Oktober",'List Order'!H:H,"Dismantle",'List Order'!I:I,"Nomor Akses")</f>
        <v>2</v>
      </c>
      <c r="BO7" s="15">
        <f>SUMIFS('List Order'!T:T,'List Order'!C:C,"2024",'List Order'!B:B,"Oktober",'List Order'!H:H,"Dismantle",'List Order'!I:I,"Nomor Akses")</f>
        <v>29000000</v>
      </c>
      <c r="BP7" s="3">
        <f>COUNTIFS('List Order'!C:C,"2024",'List Order'!B:B,"November",'List Order'!H:H,"Dismantle",'List Order'!I:I,"Nomor Akses")</f>
        <v>4</v>
      </c>
      <c r="BQ7" s="15">
        <f>SUMIFS('List Order'!T:T,'List Order'!C:C,"2024",'List Order'!B:B,"November",'List Order'!H:H,"Dismantle",'List Order'!I:I,"Nomor Akses")</f>
        <v>3000000</v>
      </c>
      <c r="BR7" s="3">
        <f>COUNTIFS('List Order'!C:C,"2024",'List Order'!B:B,"Desember",'List Order'!H:H,"Dismantle",'List Order'!I:I,"Nomor Akses")</f>
        <v>3</v>
      </c>
      <c r="BS7" s="15">
        <f>SUMIFS('List Order'!T:T,'List Order'!C:C,"2024",'List Order'!B:B,"Desember",'List Order'!H:H,"Dismantle")</f>
        <v>1160000</v>
      </c>
    </row>
    <row r="8" spans="2:71" ht="15" customHeight="1">
      <c r="B8" s="29"/>
      <c r="C8" s="29"/>
      <c r="D8" s="29"/>
      <c r="E8" s="29"/>
      <c r="F8" s="30"/>
      <c r="G8" s="30"/>
      <c r="H8" s="30"/>
      <c r="I8" s="30"/>
      <c r="AE8" t="s">
        <v>3230</v>
      </c>
      <c r="AF8" s="17">
        <f>SUMIFS('List Project'!I:I,'List Project'!D:D,"Januari",'List Project'!F:F,"SSO")</f>
        <v>0</v>
      </c>
      <c r="AG8" s="17">
        <f>SUMIFS('List Project'!I:I,'List Project'!D:D,"Februari",'List Project'!F:F,"SSO")</f>
        <v>15923259005</v>
      </c>
      <c r="AH8" s="17">
        <f>SUMIFS('List Project'!I:I,'List Project'!D:D,"Maret",'List Project'!F:F,"SSO")</f>
        <v>0</v>
      </c>
      <c r="AI8" s="17">
        <f>SUMIFS('List Project'!I:I,'List Project'!D:D,"April",'List Project'!F:F,"SSO")</f>
        <v>0</v>
      </c>
      <c r="AJ8" s="17">
        <f>SUMIFS('List Project'!I:I,'List Project'!D:D,"Mei",'List Project'!F:F,"SSO")</f>
        <v>0</v>
      </c>
      <c r="AK8" s="17">
        <f>SUMIFS('List Project'!I:I,'List Project'!D:D,"Juni",'List Project'!F:F,"SSO")</f>
        <v>0</v>
      </c>
      <c r="AL8" s="17">
        <f>SUMIFS('List Project'!I:I,'List Project'!D:D,"Juli",'List Project'!F:F,"SSO")</f>
        <v>0</v>
      </c>
      <c r="AM8" s="17">
        <f>SUMIFS('List Project'!I:I,'List Project'!D:D,"Agustus",'List Project'!F:F,"SSO")</f>
        <v>0</v>
      </c>
      <c r="AN8" s="17">
        <f>SUMIFS('List Project'!I:I,'List Project'!D:D,"September",'List Project'!F:F,"SSO")</f>
        <v>0</v>
      </c>
      <c r="AO8" s="17">
        <f>SUMIFS('List Project'!I:I,'List Project'!D:D,"Oktober",'List Project'!F:F,"SSO")</f>
        <v>0</v>
      </c>
      <c r="AP8" s="17">
        <f>SUMIFS('List Project'!I:I,'List Project'!D:D,"November",'List Project'!F:F,"SSO")</f>
        <v>0</v>
      </c>
      <c r="AQ8" s="17">
        <f>SUMIFS('List Project'!I:I,'List Project'!D:D,"Desember",'List Project'!F:F,"SSO")</f>
        <v>0</v>
      </c>
      <c r="AR8" s="17">
        <f t="shared" si="0"/>
        <v>15923259005</v>
      </c>
      <c r="AU8" s="8" t="s">
        <v>3231</v>
      </c>
      <c r="AV8" s="9">
        <f>COUNTIFS('List Order'!B:B,"Januari",'List Order'!I:I,"Connectivity",'List Order'!C:C,"2024")</f>
        <v>13</v>
      </c>
      <c r="AW8" s="14">
        <f>SUM(AW9:AW10)</f>
        <v>78037527</v>
      </c>
      <c r="AX8" s="9">
        <f>COUNTIFS('List Order'!B:B,"Februari",'List Order'!I:I,"Connectivity",'List Order'!C:C,"2024")</f>
        <v>15</v>
      </c>
      <c r="AY8" s="14">
        <f>SUM(AY9:AY10)</f>
        <v>25330500</v>
      </c>
      <c r="AZ8" s="9">
        <f>COUNTIFS('List Order'!B:B,"Maret",'List Order'!I:I,"Connectivity",'List Order'!C:C,"2024")</f>
        <v>14</v>
      </c>
      <c r="BA8" s="14">
        <f>SUM(BA9:BA10)</f>
        <v>319788030</v>
      </c>
      <c r="BB8" s="9">
        <f>COUNTIFS('List Order'!B:B,"April",'List Order'!I:I,"Connectivity",'List Order'!C:C,"2024")</f>
        <v>11</v>
      </c>
      <c r="BC8" s="14">
        <f>SUM(BC9:BC10)</f>
        <v>138805130</v>
      </c>
      <c r="BD8" s="9">
        <f>COUNTIFS('List Order'!B:B,"Mei",'List Order'!I:I,"Connectivity",'List Order'!C:C,"2024")</f>
        <v>14</v>
      </c>
      <c r="BE8" s="14">
        <f>SUM(BE9:BE10)</f>
        <v>3993000</v>
      </c>
      <c r="BF8" s="9">
        <f>COUNTIFS('List Order'!B:B,"Juni",'List Order'!I:I,"Connectivity",'List Order'!C:C,"2024")</f>
        <v>22</v>
      </c>
      <c r="BG8" s="14">
        <f>SUM(BG9:BG10)</f>
        <v>0</v>
      </c>
      <c r="BH8" s="9">
        <f>COUNTIFS('List Order'!B:B,"Juli",'List Order'!I:I,"Connectivity",'List Order'!C:C,"2024")</f>
        <v>41</v>
      </c>
      <c r="BI8" s="14">
        <f>SUM(BI9:BI10)</f>
        <v>0</v>
      </c>
      <c r="BJ8" s="9">
        <f>COUNTIFS('List Order'!B:B,"Agustus",'List Order'!I:I,"Connectivity",'List Order'!C:C,"2024")</f>
        <v>14</v>
      </c>
      <c r="BK8" s="14">
        <f>SUM(BK9:BK10)</f>
        <v>0</v>
      </c>
      <c r="BL8" s="9">
        <f>COUNTIFS('List Order'!B:B,"September",'List Order'!I:I,"Connectivity",'List Order'!C:C,"2024")</f>
        <v>7</v>
      </c>
      <c r="BM8" s="14">
        <f>SUM(BM9:BM10)</f>
        <v>0</v>
      </c>
      <c r="BN8" s="9">
        <f>COUNTIFS('List Order'!B:B,"Oktober",'List Order'!I:I,"Connectivity",'List Order'!C:C,"2024")</f>
        <v>14</v>
      </c>
      <c r="BO8" s="14">
        <f>SUM(BO9:BO10)</f>
        <v>35345000</v>
      </c>
      <c r="BP8" s="9">
        <f>COUNTIFS('List Order'!B:B,"November",'List Order'!I:I,"Connectivity",'List Order'!C:C,"2024")</f>
        <v>12</v>
      </c>
      <c r="BQ8" s="14">
        <f>SUM(BQ9:BQ10)</f>
        <v>8811100</v>
      </c>
      <c r="BR8" s="9">
        <f>COUNTIFS('List Order'!B:B,"Desember",'List Order'!I:I,"Connectivity",'List Order'!C:C,"2024")</f>
        <v>13</v>
      </c>
      <c r="BS8" s="14">
        <f>SUM(BS9:BS10)</f>
        <v>24803400</v>
      </c>
    </row>
    <row r="9" spans="2:71" ht="15" customHeight="1">
      <c r="B9" s="29"/>
      <c r="C9" s="37"/>
      <c r="D9" s="37"/>
      <c r="E9" s="37"/>
      <c r="F9" s="37"/>
      <c r="G9" s="37"/>
      <c r="H9" s="37"/>
      <c r="I9" s="30"/>
      <c r="AE9" t="s">
        <v>3232</v>
      </c>
      <c r="AF9" s="17">
        <f>SUMIFS('List Project'!I:I,'List Project'!D:D,"Januari",'List Project'!F:F,"Nomor Akses")</f>
        <v>4872456036</v>
      </c>
      <c r="AG9" s="17">
        <f>SUMIFS('List Project'!I:I,'List Project'!D:D,"Februari",'List Project'!F:F,"Nomor Akses")</f>
        <v>3578559600</v>
      </c>
      <c r="AH9" s="17">
        <f>SUMIFS('List Project'!I:I,'List Project'!D:D,"Maret",'List Project'!F:F,"Nomor Akses")</f>
        <v>13046898263</v>
      </c>
      <c r="AI9" s="17">
        <f>SUMIFS('List Project'!I:I,'List Project'!D:D,"April",'List Project'!F:F,"Nomor Akses")</f>
        <v>12462714000</v>
      </c>
      <c r="AJ9" s="17">
        <f>SUMIFS('List Project'!I:I,'List Project'!D:D,"Mei",'List Project'!F:F,"Nomor Akses")</f>
        <v>3711305454</v>
      </c>
      <c r="AK9" s="17">
        <f>SUMIFS('List Project'!I:I,'List Project'!D:D,"Juni",'List Project'!F:F,"Nomor Akses")</f>
        <v>615968000</v>
      </c>
      <c r="AL9" s="17">
        <f>SUMIFS('List Project'!I:I,'List Project'!D:D,"Juli",'List Project'!F:F,"Nomor Akses")</f>
        <v>3330786126</v>
      </c>
      <c r="AM9" s="17">
        <f>SUMIFS('List Project'!I:I,'List Project'!D:D,"Agustus",'List Project'!F:F,"Nomor Akses")</f>
        <v>3942230000</v>
      </c>
      <c r="AN9" s="17">
        <f>SUMIFS('List Project'!I:I,'List Project'!D:D,"September",'List Project'!F:F,"Nomor Akses")</f>
        <v>916340000</v>
      </c>
      <c r="AO9" s="17">
        <f>SUMIFS('List Project'!I:I,'List Project'!D:D,"Oktober",'List Project'!F:F,"Nomor Akses")</f>
        <v>984468000</v>
      </c>
      <c r="AP9" s="17">
        <f>SUMIFS('List Project'!I:I,'List Project'!D:D,"November",'List Project'!F:F,"Nomor Akses")</f>
        <v>1378504000</v>
      </c>
      <c r="AQ9" s="17">
        <f>SUMIFS('List Project'!I:I,'List Project'!D:D,"Desember",'List Project'!F:F,"Nomor Akses")</f>
        <v>269000000</v>
      </c>
      <c r="AR9" s="17">
        <f t="shared" si="0"/>
        <v>49109229479</v>
      </c>
      <c r="AU9" s="1" t="s">
        <v>1633</v>
      </c>
      <c r="AV9" s="3">
        <f>COUNTIFS('List Order'!C:C,"2024",'List Order'!B:B,"Januari",'List Order'!H:H,"PSB",'List Order'!I:I,"Connectivity")</f>
        <v>9</v>
      </c>
      <c r="AW9" s="15">
        <f>SUMIFS('List Order'!T:T,'List Order'!C:C,"2024",'List Order'!B:B,"Januari",'List Order'!H:H,"PSB",'List Order'!I:I,"Connectivity")</f>
        <v>41652567</v>
      </c>
      <c r="AX9" s="3">
        <f>COUNTIFS('List Order'!C:C,"2024",'List Order'!B:B,"Februari",'List Order'!H:H,"PSB",'List Order'!I:I,"Connectivity")</f>
        <v>7</v>
      </c>
      <c r="AY9" s="15">
        <f>SUMIFS('List Order'!T:T,'List Order'!C:C,"2024",'List Order'!B:B,"Februari",'List Order'!H:H,"PSB",'List Order'!I:I,"Connectivity")</f>
        <v>13332500</v>
      </c>
      <c r="AZ9" s="3">
        <f>COUNTIFS('List Order'!C:C,"2024",'List Order'!B:B,"Maret",'List Order'!H:H,"PSB",'List Order'!I:I,"Connectivity")</f>
        <v>4</v>
      </c>
      <c r="BA9" s="15">
        <f>SUMIFS('List Order'!T:T,'List Order'!C:C,"2024",'List Order'!B:B,"Maret",'List Order'!H:H,"PSB",'List Order'!I:I,"Connectivity")</f>
        <v>9067000</v>
      </c>
      <c r="BB9" s="3">
        <f>COUNTIFS('List Order'!C:C,"2024",'List Order'!B:B,"April",'List Order'!H:H,"PSB",'List Order'!I:I,"Connectivity")</f>
        <v>4</v>
      </c>
      <c r="BC9" s="15">
        <f>SUMIFS('List Order'!T:T,'List Order'!C:C,"2024",'List Order'!B:B,"April",'List Order'!H:H,"PSB",'List Order'!I:I,"Connectivity")</f>
        <v>8327613</v>
      </c>
      <c r="BD9" s="3">
        <f>COUNTIFS('List Order'!C:C,"2024",'List Order'!B:B,"Mei",'List Order'!H:H,"PSB",'List Order'!I:I,"Connectivity")</f>
        <v>6</v>
      </c>
      <c r="BE9" s="15">
        <f>SUMIFS('List Order'!T:T,'List Order'!C:C,"2024",'List Order'!B:B,"Mei",'List Order'!H:H,"PSB",'List Order'!I:I,"Connectivity")</f>
        <v>3993000</v>
      </c>
      <c r="BF9" s="3">
        <f>COUNTIFS('List Order'!C:C,"2024",'List Order'!B:B,"Juni",'List Order'!H:H,"PSB",'List Order'!I:I,"Connectivity")</f>
        <v>7</v>
      </c>
      <c r="BG9" s="15">
        <f>SUMIFS('List Order'!T:T,'List Order'!C:C,"2024",'List Order'!B:B,"Juni",'List Order'!H:H,"PSB",'List Order'!I:I,"Connectivity")</f>
        <v>0</v>
      </c>
      <c r="BH9" s="3">
        <f>COUNTIFS('List Order'!C:C,"2024",'List Order'!B:B,"Juli",'List Order'!H:H,"PSB",'List Order'!I:I,"Connectivity")</f>
        <v>12</v>
      </c>
      <c r="BI9" s="15">
        <f>SUMIFS('List Order'!T:T,'List Order'!C:C,"2024",'List Order'!B:B,"Juli",'List Order'!H:H,"PSB",'List Order'!I:I,"Connectivity")</f>
        <v>0</v>
      </c>
      <c r="BJ9" s="3">
        <f>COUNTIFS('List Order'!C:C,"2024",'List Order'!B:B,"Agustus",'List Order'!H:H,"PSB",'List Order'!I:I,"Connectivity")</f>
        <v>1</v>
      </c>
      <c r="BK9" s="15">
        <f>SUMIFS('List Order'!T:T,'List Order'!C:C,"2024",'List Order'!B:B,"Agustus",'List Order'!H:H,"PSB",'List Order'!I:I,"Connectivity")</f>
        <v>0</v>
      </c>
      <c r="BL9" s="3">
        <f>COUNTIFS('List Order'!C:C,"2024",'List Order'!B:B,"September",'List Order'!H:H,"PSB",'List Order'!I:I,"Connectivity")</f>
        <v>0</v>
      </c>
      <c r="BM9" s="15">
        <f>SUMIFS('List Order'!T:T,'List Order'!C:C,"2024",'List Order'!B:B,"September",'List Order'!H:H,"PSB",'List Order'!I:I,"Connectivity")</f>
        <v>0</v>
      </c>
      <c r="BN9" s="3">
        <f>COUNTIFS('List Order'!C:C,"2024",'List Order'!B:B,"Oktober",'List Order'!H:H,"PSB",'List Order'!I:I,"Connectivity")</f>
        <v>5</v>
      </c>
      <c r="BO9" s="15">
        <f>SUMIFS('List Order'!T:T,'List Order'!C:C,"2024",'List Order'!B:B,"Oktober",'List Order'!H:H,"PSB",'List Order'!I:I,"Connectivity")</f>
        <v>35345000</v>
      </c>
      <c r="BP9" s="3">
        <f>COUNTIFS('List Order'!C:C,"2024",'List Order'!B:B,"November",'List Order'!H:H,"PSB",'List Order'!I:I,"Connectivity")</f>
        <v>6</v>
      </c>
      <c r="BQ9" s="15">
        <f>SUMIFS('List Order'!T:T,'List Order'!C:C,"2024",'List Order'!B:B,"November",'List Order'!H:H,"PSB",'List Order'!I:I,"Connectivity")</f>
        <v>5731100</v>
      </c>
      <c r="BR9" s="3">
        <f>COUNTIFS('List Order'!C:C,"2024",'List Order'!B:B,"Desember",'List Order'!H:H,"PSB",'List Order'!I:I,"Connectivity")</f>
        <v>9</v>
      </c>
      <c r="BS9" s="15">
        <f>SUMIFS('List Order'!T:T,'List Order'!C:C,"2024",'List Order'!B:B,"Desember",'List Order'!H:H,"PSB",'List Order'!I:I,"Connectivity")</f>
        <v>22196800</v>
      </c>
    </row>
    <row r="10" spans="2:71" ht="15" customHeight="1">
      <c r="B10" s="29"/>
      <c r="C10" s="37"/>
      <c r="D10" s="37"/>
      <c r="E10" s="37"/>
      <c r="F10" s="37"/>
      <c r="G10" s="37"/>
      <c r="H10" s="37"/>
      <c r="I10" s="30"/>
      <c r="AU10" s="1" t="s">
        <v>1135</v>
      </c>
      <c r="AV10" s="3">
        <f>COUNTIFS('List Order'!C:C,"2024",'List Order'!B:B,"Januari",'List Order'!H:H,"Upgrade",'List Order'!I:I,"Connectivity")</f>
        <v>3</v>
      </c>
      <c r="AW10" s="15">
        <f>SUMIFS('List Order'!T:T,'List Order'!C:C,"2024",'List Order'!B:B,"Januari",'List Order'!H:H,"Upgrade",'List Order'!I:I,"Connectivity")</f>
        <v>36384960</v>
      </c>
      <c r="AX10" s="3">
        <f>COUNTIFS('List Order'!C:C,"2024",'List Order'!B:B,"Februari",'List Order'!H:H,"Upgrade",'List Order'!I:I,"Connectivity")</f>
        <v>3</v>
      </c>
      <c r="AY10" s="15">
        <f>SUMIFS('List Order'!T:T,'List Order'!C:C,"2024",'List Order'!B:B,"Februari",'List Order'!H:H,"Upgrade",'List Order'!I:I,"Connectivity")</f>
        <v>11998000</v>
      </c>
      <c r="AZ10" s="3">
        <f>COUNTIFS('List Order'!C:C,"2024",'List Order'!B:B,"Maret",'List Order'!H:H,"Upgrade",'List Order'!I:I,"Connectivity")</f>
        <v>5</v>
      </c>
      <c r="BA10" s="15">
        <f>SUMIFS('List Order'!T:T,'List Order'!C:C,"2024",'List Order'!B:B,"Maret",'List Order'!H:H,"Upgrade",'List Order'!I:I,"Connectivity")</f>
        <v>310721030</v>
      </c>
      <c r="BB10" s="3">
        <f>COUNTIFS('List Order'!C:C,"2024",'List Order'!B:B,"April",'List Order'!H:H,"Upgrade",'List Order'!I:I,"Connectivity")</f>
        <v>5</v>
      </c>
      <c r="BC10" s="15">
        <f>SUMIFS('List Order'!T:T,'List Order'!C:C,"2024",'List Order'!B:B,"April",'List Order'!H:H,"Upgrade",'List Order'!I:I,"Connectivity")</f>
        <v>130477517</v>
      </c>
      <c r="BD10" s="3">
        <f>COUNTIFS('List Order'!C:C,"2024",'List Order'!B:B,"Mei",'List Order'!H:H,"Upgrade",'List Order'!I:I,"Connectivity")</f>
        <v>3</v>
      </c>
      <c r="BE10" s="15">
        <f>SUMIFS('List Order'!T:T,'List Order'!C:C,"2024",'List Order'!B:B,"Mei",'List Order'!H:H,"Upgrade",'List Order'!I:I,"Connectivity")</f>
        <v>0</v>
      </c>
      <c r="BF10" s="3">
        <f>COUNTIFS('List Order'!C:C,"2024",'List Order'!B:B,"Juni",'List Order'!H:H,"Upgrade",'List Order'!I:I,"Connectivity")</f>
        <v>2</v>
      </c>
      <c r="BG10" s="15">
        <f>SUMIFS('List Order'!T:T,'List Order'!C:C,"2024",'List Order'!B:B,"Juni",'List Order'!H:H,"Upgrade",'List Order'!I:I,"Connectivity")</f>
        <v>0</v>
      </c>
      <c r="BH10" s="3">
        <f>COUNTIFS('List Order'!C:C,"2024",'List Order'!B:B,"Juli",'List Order'!H:H,"Upgrade",'List Order'!I:I,"Connectivity")</f>
        <v>0</v>
      </c>
      <c r="BI10" s="15">
        <f>SUMIFS('List Order'!T:T,'List Order'!C:C,"2024",'List Order'!B:B,"Juli",'List Order'!H:H,"Upgrade",'List Order'!I:I,"Connectivity")</f>
        <v>0</v>
      </c>
      <c r="BJ10" s="3">
        <f>COUNTIFS('List Order'!C:C,"2024",'List Order'!B:B,"Agustus",'List Order'!H:H,"Upgrade",'List Order'!I:I,"Connectivity")</f>
        <v>1</v>
      </c>
      <c r="BK10" s="15">
        <f>SUMIFS('List Order'!T:T,'List Order'!C:C,"2024",'List Order'!B:B,"Agustus",'List Order'!H:H,"Upgrade",'List Order'!I:I,"Connectivity")</f>
        <v>0</v>
      </c>
      <c r="BL10" s="3">
        <f>COUNTIFS('List Order'!C:C,"2024",'List Order'!B:B,"September",'List Order'!H:H,"Upgrade",'List Order'!I:I,"Connectivity")</f>
        <v>3</v>
      </c>
      <c r="BM10" s="15">
        <f>SUMIFS('List Order'!T:T,'List Order'!C:C,"2024",'List Order'!B:B,"September",'List Order'!H:H,"Upgrade",'List Order'!I:I,"Connectivity")</f>
        <v>0</v>
      </c>
      <c r="BN10" s="3">
        <f>COUNTIFS('List Order'!C:C,"2024",'List Order'!B:B,"Oktober",'List Order'!H:H,"Upgrade",'List Order'!I:I,"Connectivity")</f>
        <v>3</v>
      </c>
      <c r="BO10" s="15">
        <f>SUMIFS('List Order'!T:T,'List Order'!C:C,"2024",'List Order'!B:B,"Oktober",'List Order'!H:H,"Upgrade",'List Order'!I:I,"Connectivity")</f>
        <v>0</v>
      </c>
      <c r="BP10" s="3">
        <f>COUNTIFS('List Order'!C:C,"2024",'List Order'!B:B,"November",'List Order'!H:H,"Upgrade",'List Order'!I:I,"Connectivity")</f>
        <v>3</v>
      </c>
      <c r="BQ10" s="15">
        <f>SUMIFS('List Order'!T:T,'List Order'!C:C,"2024",'List Order'!B:B,"November",'List Order'!H:H,"Upgrade",'List Order'!I:I,"Connectivity")</f>
        <v>3080000</v>
      </c>
      <c r="BR10" s="3">
        <f>COUNTIFS('List Order'!C:C,"2024",'List Order'!B:B,"Desember",'List Order'!H:H,"Upgrade",'List Order'!I:I,"Connectivity")</f>
        <v>2</v>
      </c>
      <c r="BS10" s="15">
        <f>SUMIFS('List Order'!T:T,'List Order'!C:C,"2024",'List Order'!B:B,"Desember",'List Order'!H:H,"Upgrade",'List Order'!I:I,"Connectivity")</f>
        <v>2606600</v>
      </c>
    </row>
    <row r="11" spans="2:71" ht="15" customHeight="1">
      <c r="B11" s="29"/>
      <c r="C11" s="31"/>
      <c r="D11" s="31"/>
      <c r="E11" s="31"/>
      <c r="F11" s="31"/>
      <c r="G11" s="31"/>
      <c r="H11" s="31"/>
      <c r="I11" s="30"/>
      <c r="AE11" s="13"/>
      <c r="AF11" s="13" t="s">
        <v>23</v>
      </c>
      <c r="AG11" s="13" t="s">
        <v>96</v>
      </c>
      <c r="AH11" s="13" t="s">
        <v>144</v>
      </c>
      <c r="AI11" s="13" t="s">
        <v>183</v>
      </c>
      <c r="AJ11" s="13" t="s">
        <v>212</v>
      </c>
      <c r="AK11" s="13" t="s">
        <v>261</v>
      </c>
      <c r="AL11" s="13" t="s">
        <v>274</v>
      </c>
      <c r="AM11" s="13" t="s">
        <v>303</v>
      </c>
      <c r="AN11" s="13" t="s">
        <v>338</v>
      </c>
      <c r="AO11" s="13" t="s">
        <v>358</v>
      </c>
      <c r="AP11" s="13" t="s">
        <v>384</v>
      </c>
      <c r="AQ11" s="13" t="s">
        <v>408</v>
      </c>
      <c r="AU11" s="1" t="s">
        <v>1556</v>
      </c>
      <c r="AV11" s="3">
        <f>COUNTIFS('List Order'!C:C,"2024",'List Order'!B:B,"Januari",'List Order'!H:H,"Downgrade",'List Order'!I:I,"Connectivity")</f>
        <v>0</v>
      </c>
      <c r="AW11" s="15">
        <f>SUMIFS('List Order'!T:T,'List Order'!C:C,"2024",'List Order'!B:B,"Januari",'List Order'!H:H,"Downgrade",'List Order'!I:I,"Connectivity")</f>
        <v>0</v>
      </c>
      <c r="AX11" s="3">
        <f>COUNTIFS('List Order'!C:C,"2024",'List Order'!B:B,"Februari",'List Order'!H:H,"Downgrade",'List Order'!I:I,"Connectivity")</f>
        <v>0</v>
      </c>
      <c r="AY11" s="15">
        <f>SUMIFS('List Order'!T:T,'List Order'!C:C,"2024",'List Order'!B:B,"Februari",'List Order'!H:H,"Downgrade",'List Order'!I:I,"Connectivity")</f>
        <v>0</v>
      </c>
      <c r="AZ11" s="3">
        <f>COUNTIFS('List Order'!C:C,"2024",'List Order'!B:B,"Maret",'List Order'!H:H,"Downgrade",'List Order'!I:I,"Connectivity")</f>
        <v>1</v>
      </c>
      <c r="BA11" s="15">
        <f>SUMIFS('List Order'!T:T,'List Order'!C:C,"2024",'List Order'!B:B,"Maret",'List Order'!H:H,"Downgrade",'List Order'!I:I,"Connectivity")</f>
        <v>108600000</v>
      </c>
      <c r="BB11" s="3">
        <f>COUNTIFS('List Order'!C:C,"2024",'List Order'!B:B,"April",'List Order'!H:H,"Downgrade",'List Order'!I:I,"Connectivity")</f>
        <v>1</v>
      </c>
      <c r="BC11" s="15">
        <f>SUMIFS('List Order'!T:T,'List Order'!C:C,"2024",'List Order'!B:B,"April",'List Order'!H:H,"Downgrade",'List Order'!I:I,"Connectivity")</f>
        <v>0</v>
      </c>
      <c r="BD11" s="3">
        <f>COUNTIFS('List Order'!C:C,"2024",'List Order'!B:B,"Mei",'List Order'!H:H,"Downgrade",'List Order'!I:I,"Connectivity")</f>
        <v>0</v>
      </c>
      <c r="BE11" s="15">
        <f>SUMIFS('List Order'!T:T,'List Order'!C:C,"2024",'List Order'!B:B,"Mei",'List Order'!H:H,"Downgrade",'List Order'!I:I,"Connectivity")</f>
        <v>0</v>
      </c>
      <c r="BF11" s="3">
        <f>COUNTIFS('List Order'!C:C,"2024",'List Order'!B:B,"Juni",'List Order'!H:H,"Downgrade",'List Order'!I:I,"Connectivity")</f>
        <v>9</v>
      </c>
      <c r="BG11" s="15">
        <f>SUMIFS('List Order'!T:T,'List Order'!C:C,"2024",'List Order'!B:B,"Juni",'List Order'!H:H,"Downgrade",'List Order'!I:I,"Connectivity")</f>
        <v>0</v>
      </c>
      <c r="BH11" s="3">
        <f>COUNTIFS('List Order'!C:C,"2024",'List Order'!B:B,"Juli",'List Order'!H:H,"Downgrade",'List Order'!I:I,"Connectivity")</f>
        <v>2</v>
      </c>
      <c r="BI11" s="15">
        <f>SUMIFS('List Order'!T:T,'List Order'!C:C,"2024",'List Order'!B:B,"Juli",'List Order'!H:H,"Downgrade",'List Order'!I:I,"Connectivity")</f>
        <v>384210277</v>
      </c>
      <c r="BJ11" s="3">
        <f>COUNTIFS('List Order'!C:C,"2024",'List Order'!B:B,"Agustus",'List Order'!H:H,"Downgrade",'List Order'!I:I,"Connectivity")</f>
        <v>0</v>
      </c>
      <c r="BK11" s="15">
        <f>SUMIFS('List Order'!T:T,'List Order'!C:C,"2024",'List Order'!B:B,"Agustus",'List Order'!H:H,"Downgrade",'List Order'!I:I,"Connectivity")</f>
        <v>0</v>
      </c>
      <c r="BL11" s="3">
        <f>COUNTIFS('List Order'!C:C,"2024",'List Order'!B:B,"September",'List Order'!H:H,"Downgrade",'List Order'!I:I,"Connectivity")</f>
        <v>0</v>
      </c>
      <c r="BM11" s="15">
        <f>SUMIFS('List Order'!T:T,'List Order'!C:C,"2024",'List Order'!B:B,"September",'List Order'!H:H,"Downgrade",'List Order'!I:I,"Connectivity")</f>
        <v>0</v>
      </c>
      <c r="BN11" s="3">
        <f>COUNTIFS('List Order'!C:C,"2024",'List Order'!B:B,"Oktober",'List Order'!H:H,"Downgrade",'List Order'!I:I,"Connectivity")</f>
        <v>1</v>
      </c>
      <c r="BO11" s="15">
        <f>SUMIFS('List Order'!T:T,'List Order'!C:C,"2024",'List Order'!B:B,"Oktober",'List Order'!H:H,"Downgrade",'List Order'!I:I,"Connectivity")</f>
        <v>0</v>
      </c>
      <c r="BP11" s="3">
        <f>COUNTIFS('List Order'!C:C,"2024",'List Order'!B:B,"November",'List Order'!H:H,"Downgrade",'List Order'!I:I,"Connectivity")</f>
        <v>0</v>
      </c>
      <c r="BQ11" s="15">
        <f>SUMIFS('List Order'!T:T,'List Order'!C:C,"2024",'List Order'!B:B,"November",'List Order'!H:H,"Downgrade",'List Order'!I:I,"Connectivity")</f>
        <v>0</v>
      </c>
      <c r="BR11" s="3">
        <f>COUNTIFS('List Order'!C:C,"2024",'List Order'!B:B,"Desember",'List Order'!H:H,"Downgrade",'List Order'!I:I,"Connectivity")</f>
        <v>0</v>
      </c>
      <c r="BS11" s="15">
        <f>SUMIFS('List Order'!T:T,'List Order'!C:C,"2024",'List Order'!B:B,"Desember",'List Order'!H:H,"Downgrade",'List Order'!I:I,"Connectivity")</f>
        <v>0</v>
      </c>
    </row>
    <row r="12" spans="2:71" ht="15" customHeight="1">
      <c r="B12" s="29"/>
      <c r="C12" s="32"/>
      <c r="D12" s="33"/>
      <c r="E12" s="32"/>
      <c r="F12" s="33"/>
      <c r="G12" s="32"/>
      <c r="H12" s="33"/>
      <c r="I12" s="30"/>
      <c r="AE12" t="s">
        <v>3222</v>
      </c>
      <c r="AF12" s="18">
        <f>SUMIF('List Project'!D:D,"Januari",'List Project'!I:I)</f>
        <v>153238322332.44</v>
      </c>
      <c r="AG12" s="18">
        <f>SUMIF('List Project'!D:D,"Februari",'List Project'!I:I)</f>
        <v>107069815680.28</v>
      </c>
      <c r="AH12" s="18">
        <f>SUMIF('List Project'!D:D,"Maret",'List Project'!I:I)</f>
        <v>158846645854</v>
      </c>
      <c r="AI12" s="18">
        <f>SUMIF('List Project'!D:D,"April",'List Project'!I:I)</f>
        <v>21145067274</v>
      </c>
      <c r="AJ12" s="18">
        <f>SUMIF('List Project'!D:D,"Mei",'List Project'!I:I)</f>
        <v>117613354628</v>
      </c>
      <c r="AK12" s="18">
        <f>SUMIF('List Project'!D:D,"Juni",'List Project'!I:I)</f>
        <v>24387249911</v>
      </c>
      <c r="AL12" s="18">
        <f>SUMIF('List Project'!D:D,"Juli",'List Project'!I:I)</f>
        <v>25193979370</v>
      </c>
      <c r="AM12" s="18">
        <f>SUMIF('List Project'!D:D,"Agustus",'List Project'!I:I)</f>
        <v>95140991295</v>
      </c>
      <c r="AN12" s="18">
        <f>SUMIF('List Project'!D:D,"September",'List Project'!I:I)</f>
        <v>130158747297.10001</v>
      </c>
      <c r="AO12" s="18">
        <f>SUMIF('List Project'!D:D,"Oktober",'List Project'!I:I)</f>
        <v>301470394753.20001</v>
      </c>
      <c r="AP12" s="18">
        <f>SUMIF('List Project'!D:D,"November",'List Project'!I:I)</f>
        <v>46006119761</v>
      </c>
      <c r="AQ12" s="18">
        <f>SUMIF('List Project'!D:D,"Desember",'List Project'!I:I)</f>
        <v>1005993372947</v>
      </c>
      <c r="AU12" s="4" t="s">
        <v>3229</v>
      </c>
      <c r="AV12" s="5">
        <f>COUNTIFS('List Order'!C:C,"2024",'List Order'!B:B,"Januari",'List Order'!H:H,"Dismantle",'List Order'!I:I,"Connectivity")</f>
        <v>1</v>
      </c>
      <c r="AW12" s="16">
        <f>SUMIFS('List Order'!T:T,'List Order'!C:C,"2024",'List Order'!B:B,"Januari",'List Order'!H:H,"Dismantle",'List Order'!I:I,"Connectivity")</f>
        <v>308750</v>
      </c>
      <c r="AX12" s="5">
        <f>COUNTIFS('List Order'!C:C,"2024",'List Order'!B:B,"Februari",'List Order'!H:H,"Dismantle",'List Order'!I:I,"Connectivity")</f>
        <v>5</v>
      </c>
      <c r="AY12" s="16">
        <f>SUMIFS('List Order'!T:T,'List Order'!C:C,"2024",'List Order'!B:B,"Februari",'List Order'!H:H,"Dismantle",'List Order'!I:I,"Connectivity")</f>
        <v>70338070</v>
      </c>
      <c r="AZ12" s="5">
        <f>COUNTIFS('List Order'!C:C,"2024",'List Order'!B:B,"Maret",'List Order'!H:H,"Dismantle",'List Order'!I:I,"Connectivity")</f>
        <v>3</v>
      </c>
      <c r="BA12" s="16">
        <f>SUMIFS('List Order'!T:T,'List Order'!C:C,"2024",'List Order'!B:B,"Maret",'List Order'!H:H,"Dismantle",'List Order'!I:I,"Connectivity")</f>
        <v>12690000</v>
      </c>
      <c r="BB12" s="5">
        <f>COUNTIFS('List Order'!C:C,"2024",'List Order'!B:B,"April",'List Order'!H:H,"Dismantle",'List Order'!I:I,"Connectivity")</f>
        <v>1</v>
      </c>
      <c r="BC12" s="16">
        <f>SUMIFS('List Order'!T:T,'List Order'!C:C,"2024",'List Order'!B:B,"April",'List Order'!H:H,"Dismantle",'List Order'!I:I,"Connectivity")</f>
        <v>2325000</v>
      </c>
      <c r="BD12" s="5">
        <f>COUNTIFS('List Order'!C:C,"2024",'List Order'!B:B,"Mei",'List Order'!H:H,"Dismantle",'List Order'!I:I,"Connectivity")</f>
        <v>5</v>
      </c>
      <c r="BE12" s="16">
        <f>SUMIFS('List Order'!T:T,'List Order'!C:C,"2024",'List Order'!B:B,"Mei",'List Order'!H:H,"Dismantle",'List Order'!I:I,"Connectivity")</f>
        <v>4522000</v>
      </c>
      <c r="BF12" s="5">
        <f>COUNTIFS('List Order'!C:C,"2024",'List Order'!B:B,"Januari",'List Order'!H:H,"Dismantle",'List Order'!I:I,"Connectivity")</f>
        <v>1</v>
      </c>
      <c r="BG12" s="16">
        <f>SUMIFS('List Order'!T:T,'List Order'!C:C,"2024",'List Order'!B:B,"Juni",'List Order'!H:H,"Dismantle",'List Order'!I:I,"Connectivity")</f>
        <v>0</v>
      </c>
      <c r="BH12" s="5">
        <f>COUNTIFS('List Order'!C:C,"2024",'List Order'!B:B,"Juli",'List Order'!H:H,"Dismantle",'List Order'!I:I,"Connectivity")</f>
        <v>6</v>
      </c>
      <c r="BI12" s="16">
        <f>SUMIFS('List Order'!T:T,'List Order'!C:C,"2024",'List Order'!B:B,"Juli",'List Order'!H:H,"Dismantle",'List Order'!I:I,"Connectivity")</f>
        <v>0</v>
      </c>
      <c r="BJ12" s="5">
        <f>COUNTIFS('List Order'!C:C,"2024",'List Order'!B:B,"Agustus",'List Order'!H:H,"Dismantle",'List Order'!I:I,"Connectivity")</f>
        <v>3</v>
      </c>
      <c r="BK12" s="16">
        <f>SUMIFS('List Order'!T:T,'List Order'!C:C,"2024",'List Order'!B:B,"Agustus",'List Order'!H:H,"Dismantle",'List Order'!I:I,"Connectivity")</f>
        <v>0</v>
      </c>
      <c r="BL12" s="5">
        <f>COUNTIFS('List Order'!C:C,"2024",'List Order'!B:B,"September",'List Order'!H:H,"Dismantle",'List Order'!I:I,"Connectivity")</f>
        <v>0</v>
      </c>
      <c r="BM12" s="16">
        <f>SUMIFS('List Order'!T:T,'List Order'!C:C,"2024",'List Order'!B:B,"September",'List Order'!H:H,"Dismantle",'List Order'!I:I,"Connectivity")</f>
        <v>0</v>
      </c>
      <c r="BN12" s="5">
        <f>COUNTIFS('List Order'!C:C,"2024",'List Order'!B:B,"Oktober",'List Order'!H:H,"Dismantle",'List Order'!I:I,"Connectivity")</f>
        <v>4</v>
      </c>
      <c r="BO12" s="16">
        <f>SUMIFS('List Order'!T:T,'List Order'!C:C,"2024",'List Order'!B:B,"Oktober",'List Order'!H:H,"Dismantle",'List Order'!I:I,"Connectivity")</f>
        <v>12074523</v>
      </c>
      <c r="BP12" s="5">
        <f>COUNTIFS('List Order'!C:C,"2024",'List Order'!B:B,"November",'List Order'!H:H,"Dismantle",'List Order'!I:I,"Connectivity")</f>
        <v>3</v>
      </c>
      <c r="BQ12" s="16">
        <f>SUMIFS('List Order'!T:T,'List Order'!C:C,"2024",'List Order'!B:B,"November",'List Order'!H:H,"Dismantle",'List Order'!I:I,"Connectivity")</f>
        <v>10466450</v>
      </c>
      <c r="BR12" s="5">
        <f>COUNTIFS('List Order'!C:C,"2024",'List Order'!B:B,"Desember",'List Order'!H:H,"Dismantle",'List Order'!I:I,"Connectivity")</f>
        <v>1</v>
      </c>
      <c r="BS12" s="16">
        <f>SUMIFS('List Order'!T:T,'List Order'!C:C,"2024",'List Order'!B:B,"Desember",'List Order'!H:H,"Dismantle",'List Order'!I:I,"Connectivity")</f>
        <v>0</v>
      </c>
    </row>
    <row r="13" spans="2:71" ht="15" customHeight="1">
      <c r="B13" s="29"/>
      <c r="C13" s="29"/>
      <c r="D13" s="29"/>
      <c r="E13" s="29"/>
      <c r="F13" s="30"/>
      <c r="G13" s="30"/>
      <c r="H13" s="30"/>
      <c r="I13" s="30"/>
      <c r="AE13" t="s">
        <v>25</v>
      </c>
      <c r="AF13">
        <f>COUNTIFS('List Project'!C:C,"2024",'List Project'!D:D,"Januari",'List Project'!F:F,"CRM")</f>
        <v>10</v>
      </c>
      <c r="AG13">
        <f>COUNTIFS('List Project'!C:C,"2024",'List Project'!D:D,"Februari",'List Project'!F:F,"CRM")</f>
        <v>11</v>
      </c>
      <c r="AH13">
        <f>COUNTIFS('List Project'!C:C,"2024",'List Project'!D:D,"Maret",'List Project'!F:F,"CRM")</f>
        <v>10</v>
      </c>
      <c r="AI13">
        <f>COUNTIFS('List Project'!C:C,"2024",'List Project'!D:D,"April",'List Project'!F:F,"CRM")</f>
        <v>4</v>
      </c>
      <c r="AJ13">
        <f>COUNTIFS('List Project'!C:C,"2024",'List Project'!D:D,"Mei",'List Project'!F:F,"CRM")</f>
        <v>11</v>
      </c>
      <c r="AK13">
        <f>COUNTIFS('List Project'!C:C,"2024",'List Project'!D:D,"Juni",'List Project'!F:F,"CRM")</f>
        <v>3</v>
      </c>
      <c r="AL13">
        <f>COUNTIFS('List Project'!C:C,"2024",'List Project'!D:D,"Juli",'List Project'!F:F,"CRM")</f>
        <v>6</v>
      </c>
      <c r="AM13">
        <f>COUNTIFS('List Project'!C:C,"2024",'List Project'!D:D,"Agustus",'List Project'!F:F,"CRM")</f>
        <v>9</v>
      </c>
      <c r="AN13">
        <f>COUNTIFS('List Project'!C:C,"2024",'List Project'!D:D,"September",'List Project'!F:F,"CRM")</f>
        <v>5</v>
      </c>
      <c r="AO13">
        <f>COUNTIFS('List Project'!C:C,"2024",'List Project'!D:D,"Oktober",'List Project'!F:F,"CRM")</f>
        <v>8</v>
      </c>
      <c r="AP13">
        <f>COUNTIFS('List Project'!C:C,"2024",'List Project'!D:D,"November",'List Project'!F:F,"CRM")</f>
        <v>3</v>
      </c>
      <c r="AQ13">
        <f>COUNTIFS('List Project'!C:C,"2024",'List Project'!D:D,"Desember",'List Project'!F:F,"CRM")</f>
        <v>6</v>
      </c>
      <c r="AU13" s="10" t="s">
        <v>3233</v>
      </c>
      <c r="AV13" s="9">
        <f>COUNTIFS('List Order'!B:B,"Januari",'List Order'!I:I,"IPPBX",'List Order'!C:C,"2024")</f>
        <v>0</v>
      </c>
      <c r="AW13" s="14"/>
      <c r="AX13" s="9">
        <f>COUNTIFS('List Order'!B:B,"Februari",'List Order'!I:I,"IPPBX",'List Order'!C:C,"2024")</f>
        <v>0</v>
      </c>
      <c r="AY13" s="14"/>
      <c r="AZ13" s="9">
        <f>COUNTIFS('List Order'!B:B,"Maret",'List Order'!I:I,"IPPBX",'List Order'!C:C,"2024")</f>
        <v>0</v>
      </c>
      <c r="BA13" s="14"/>
      <c r="BB13" s="9">
        <f>COUNTIFS('List Order'!B:B,"April",'List Order'!I:I,"IPPBX",'List Order'!C:C,"2024")</f>
        <v>1</v>
      </c>
      <c r="BC13" s="14"/>
      <c r="BD13" s="9">
        <f>COUNTIFS('List Order'!B:B,"Mei",'List Order'!I:I,"IPPBX",'List Order'!C:C,"2024")</f>
        <v>0</v>
      </c>
      <c r="BE13" s="14"/>
      <c r="BF13" s="9">
        <f>COUNTIFS('List Order'!B:B,"Juni",'List Order'!I:I,"IPPBX",'List Order'!C:C,"2024")</f>
        <v>2</v>
      </c>
      <c r="BG13" s="14"/>
      <c r="BH13" s="9">
        <f>COUNTIFS('List Order'!B:B,"Juli",'List Order'!I:I,"IPPBX",'List Order'!C:C,"2024")</f>
        <v>0</v>
      </c>
      <c r="BI13" s="14"/>
      <c r="BJ13" s="9">
        <f>COUNTIFS('List Order'!B:B,"Agustus",'List Order'!I:I,"IPPBX",'List Order'!C:C,"2024")</f>
        <v>0</v>
      </c>
      <c r="BK13" s="14"/>
      <c r="BL13" s="9">
        <f>COUNTIFS('List Order'!B:B,"September",'List Order'!I:I,"IPPBX",'List Order'!C:C,"2024")</f>
        <v>1</v>
      </c>
      <c r="BM13" s="14"/>
      <c r="BN13" s="9">
        <f>COUNTIFS('List Order'!B:B,"Oktober",'List Order'!I:I,"IPPBX",'List Order'!C:C,"2024")</f>
        <v>1</v>
      </c>
      <c r="BO13" s="14"/>
      <c r="BP13" s="9">
        <f>COUNTIFS('List Order'!B:B,"November",'List Order'!I:I,"IPPBX",'List Order'!C:C,"2024")</f>
        <v>0</v>
      </c>
      <c r="BQ13" s="14"/>
      <c r="BR13" s="9">
        <f>COUNTIFS('List Order'!B:B,"Desember",'List Order'!I:I,"IPPBX",'List Order'!C:C,"2024")</f>
        <v>0</v>
      </c>
      <c r="BS13" s="14"/>
    </row>
    <row r="14" spans="2:71">
      <c r="AE14" t="s">
        <v>128</v>
      </c>
      <c r="AF14">
        <f>COUNTIFS('List Project'!C:C,"2024",'List Project'!D:D,"Januari",'List Project'!F:F,"SSO")</f>
        <v>0</v>
      </c>
      <c r="AG14">
        <f>COUNTIFS('List Project'!C:C,"2024",'List Project'!D:D,"Februari",'List Project'!F:F,"SSO")</f>
        <v>1</v>
      </c>
      <c r="AH14">
        <f>COUNTIFS('List Project'!C:C,"2024",'List Project'!D:D,"Maret",'List Project'!F:F,"SSO")</f>
        <v>0</v>
      </c>
      <c r="AI14">
        <f>COUNTIFS('List Project'!C:C,"2024",'List Project'!D:D,"April",'List Project'!F:F,"SSO")</f>
        <v>0</v>
      </c>
      <c r="AJ14">
        <f>COUNTIFS('List Project'!C:C,"2024",'List Project'!D:D,"Mei",'List Project'!F:F,"SSO")</f>
        <v>0</v>
      </c>
      <c r="AK14">
        <f>COUNTIFS('List Project'!C:C,"2024",'List Project'!D:D,"Juni",'List Project'!F:F,"SSO")</f>
        <v>0</v>
      </c>
      <c r="AL14">
        <f>COUNTIFS('List Project'!C:C,"2024",'List Project'!D:D,"Juli",'List Project'!F:F,"SSO")</f>
        <v>0</v>
      </c>
      <c r="AM14">
        <f>COUNTIFS('List Project'!C:C,"2024",'List Project'!D:D,"Agustus",'List Project'!F:F,"SSO")</f>
        <v>0</v>
      </c>
      <c r="AN14">
        <f>COUNTIFS('List Project'!C:C,"2024",'List Project'!D:D,"September",'List Project'!F:F,"SSO")</f>
        <v>0</v>
      </c>
      <c r="AO14">
        <f>COUNTIFS('List Project'!C:C,"2024",'List Project'!D:D,"Oktober",'List Project'!F:F,"SSO")</f>
        <v>0</v>
      </c>
      <c r="AP14">
        <f>COUNTIFS('List Project'!C:C,"2024",'List Project'!D:D,"November",'List Project'!F:F,"SSO")</f>
        <v>0</v>
      </c>
      <c r="AQ14">
        <f>COUNTIFS('List Project'!C:C,"2024",'List Project'!D:D,"Desember",'List Project'!F:F,"SSO")</f>
        <v>0</v>
      </c>
      <c r="AU14" s="1" t="s">
        <v>1633</v>
      </c>
      <c r="AV14" s="3">
        <f>COUNTIFS('List Order'!C:C,"2024",'List Order'!B:B,"Januari",'List Order'!H:H,"PSB",'List Order'!I:I,"IPPBX")</f>
        <v>0</v>
      </c>
      <c r="AW14" s="15">
        <f>SUMIFS('List Order'!T:T,'List Order'!C:C,"2024",'List Order'!B:B,"Januari",'List Order'!H:H,"PSB",'List Order'!I:I,"IPPBX")</f>
        <v>0</v>
      </c>
      <c r="AX14" s="3">
        <f>COUNTIFS('List Order'!C:C,"2024",'List Order'!B:B,"Februari",'List Order'!H:H,"PSB",'List Order'!I:I,"IPPBX")</f>
        <v>0</v>
      </c>
      <c r="AY14" s="15">
        <f>SUMIFS('List Order'!T:T,'List Order'!C:C,"2024",'List Order'!B:B,"Februari",'List Order'!H:H,"PSB",'List Order'!I:I,"IPPBX")</f>
        <v>0</v>
      </c>
      <c r="AZ14" s="3">
        <f>COUNTIFS('List Order'!C:C,"2024",'List Order'!B:B,"Maret",'List Order'!H:H,"PSB",'List Order'!I:I,"IPPBX")</f>
        <v>0</v>
      </c>
      <c r="BA14" s="15">
        <f>SUMIFS('List Order'!T:T,'List Order'!C:C,"2024",'List Order'!B:B,"Maret",'List Order'!H:H,"PSB",'List Order'!I:I,"IPPBX")</f>
        <v>0</v>
      </c>
      <c r="BB14" s="3">
        <f>COUNTIFS('List Order'!C:C,"2024",'List Order'!B:B,"April",'List Order'!H:H,"PSB",'List Order'!I:I,"IPPBX")</f>
        <v>0</v>
      </c>
      <c r="BC14" s="15">
        <f>SUMIFS('List Order'!T:T,'List Order'!C:C,"2024",'List Order'!B:B,"April",'List Order'!H:H,"PSB",'List Order'!I:I,"IPPBX")</f>
        <v>0</v>
      </c>
      <c r="BD14" s="3">
        <f>COUNTIFS('List Order'!C:C,"2024",'List Order'!B:B,"Mei",'List Order'!H:H,"PSB",'List Order'!I:I,"IPPBX")</f>
        <v>0</v>
      </c>
      <c r="BE14" s="15">
        <f>SUMIFS('List Order'!T:T,'List Order'!C:C,"2024",'List Order'!B:B,"Mei",'List Order'!H:H,"PSB",'List Order'!I:I,"IPPBX")</f>
        <v>0</v>
      </c>
      <c r="BF14" s="3">
        <f>COUNTIFS('List Order'!C:C,"2024",'List Order'!B:B,"Juni",'List Order'!H:H,"PSB",'List Order'!I:I,"IPPBX")</f>
        <v>2</v>
      </c>
      <c r="BG14" s="15">
        <f>SUMIFS('List Order'!T:T,'List Order'!C:C,"2024",'List Order'!B:B,"Juni",'List Order'!H:H,"PSB",'List Order'!I:I,"IPPBX")</f>
        <v>0</v>
      </c>
      <c r="BH14" s="3">
        <f>COUNTIFS('List Order'!C:C,"2024",'List Order'!B:B,"Juli",'List Order'!H:H,"PSB",'List Order'!I:I,"IPPBX")</f>
        <v>0</v>
      </c>
      <c r="BI14" s="15">
        <f>SUMIFS('List Order'!T:T,'List Order'!C:C,"2024",'List Order'!B:B,"Juli",'List Order'!H:H,"PSB",'List Order'!I:I,"IPPBX")</f>
        <v>0</v>
      </c>
      <c r="BJ14" s="3">
        <f>COUNTIFS('List Order'!C:C,"2024",'List Order'!B:B,"Agustus",'List Order'!H:H,"PSB",'List Order'!I:I,"IPPBX")</f>
        <v>0</v>
      </c>
      <c r="BK14" s="15">
        <f>SUMIFS('List Order'!T:T,'List Order'!C:C,"2024",'List Order'!B:B,"Agustus",'List Order'!H:H,"PSB",'List Order'!I:I,"IPPBX")</f>
        <v>0</v>
      </c>
      <c r="BL14" s="3">
        <f>COUNTIFS('List Order'!C:C,"2024",'List Order'!B:B,"September",'List Order'!H:H,"PSB",'List Order'!I:I,"IPPBX")</f>
        <v>0</v>
      </c>
      <c r="BM14" s="15">
        <f>SUMIFS('List Order'!T:T,'List Order'!C:C,"2024",'List Order'!B:B,"September",'List Order'!H:H,"PSB",'List Order'!I:I,"IPPBX")</f>
        <v>0</v>
      </c>
      <c r="BN14" s="3">
        <f>COUNTIFS('List Order'!C:C,"2024",'List Order'!B:B,"Oktober",'List Order'!H:H,"PSB",'List Order'!I:I,"IPPBX")</f>
        <v>1</v>
      </c>
      <c r="BO14" s="15">
        <f>SUMIFS('List Order'!T:T,'List Order'!C:C,"2024",'List Order'!B:B,"Oktober",'List Order'!H:H,"PSB",'List Order'!I:I,"IPPBX")</f>
        <v>4115000</v>
      </c>
      <c r="BP14" s="3">
        <f>COUNTIFS('List Order'!C:C,"2024",'List Order'!B:B,"November",'List Order'!H:H,"PSB",'List Order'!I:I,"IPPBX")</f>
        <v>0</v>
      </c>
      <c r="BQ14" s="15">
        <f>SUMIFS('List Order'!T:T,'List Order'!C:C,"2024",'List Order'!B:B,"November",'List Order'!H:H,"PSB",'List Order'!I:I,"IPPBX")</f>
        <v>0</v>
      </c>
      <c r="BR14" s="3">
        <f>COUNTIFS('List Order'!C:C,"2024",'List Order'!B:B,"Desember",'List Order'!H:H,"PSB",'List Order'!I:I,"IPPBX")</f>
        <v>0</v>
      </c>
      <c r="BS14" s="15">
        <f>SUMIFS('List Order'!T:T,'List Order'!C:C,"2024",'List Order'!B:B,"Desember",'List Order'!H:H,"PSB",'List Order'!I:I,"IPPBX")</f>
        <v>0</v>
      </c>
    </row>
    <row r="15" spans="2:71">
      <c r="C15" s="180"/>
      <c r="D15" s="180"/>
      <c r="E15" s="180"/>
      <c r="F15" s="180"/>
      <c r="G15" s="180"/>
      <c r="H15" s="180"/>
      <c r="AE15" t="s">
        <v>48</v>
      </c>
      <c r="AF15">
        <f>COUNTIFS('List Project'!C:C,"2024",'List Project'!D:D,"Januari",'List Project'!F:F,"Nomor Akses")</f>
        <v>8</v>
      </c>
      <c r="AG15">
        <f>COUNTIFS('List Project'!C:C,"2024",'List Project'!D:D,"Februari",'List Project'!F:F,"Nomor Akses")</f>
        <v>5</v>
      </c>
      <c r="AH15">
        <f>COUNTIFS('List Project'!C:C,"2024",'List Project'!D:D,"Maret",'List Project'!F:F,"Nomor Akses")</f>
        <v>7</v>
      </c>
      <c r="AI15">
        <f>COUNTIFS('List Project'!C:C,"2024",'List Project'!D:D,"April",'List Project'!F:F,"Nomor Akses")</f>
        <v>7</v>
      </c>
      <c r="AJ15">
        <f>COUNTIFS('List Project'!C:C,"2024",'List Project'!D:D,"Mei",'List Project'!F:F,"Nomor Akses")</f>
        <v>9</v>
      </c>
      <c r="AK15">
        <f>COUNTIFS('List Project'!C:C,"2024",'List Project'!D:D,"Juni",'List Project'!F:F,"Nomor Akses")</f>
        <v>3</v>
      </c>
      <c r="AL15">
        <f>COUNTIFS('List Project'!C:C,"2024",'List Project'!D:D,"Juli",'List Project'!F:F,"Nomor Akses")</f>
        <v>5</v>
      </c>
      <c r="AM15">
        <f>COUNTIFS('List Project'!C:C,"2024",'List Project'!D:D,"Agustus",'List Project'!F:F,"Nomor Akses")</f>
        <v>6</v>
      </c>
      <c r="AN15">
        <f>COUNTIFS('List Project'!C:C,"2024",'List Project'!D:D,"September",'List Project'!F:F,"Nomor Akses")</f>
        <v>3</v>
      </c>
      <c r="AO15">
        <f>COUNTIFS('List Project'!C:C,"2024",'List Project'!D:D,"Oktober",'List Project'!F:F,"Nomor Akses")</f>
        <v>2</v>
      </c>
      <c r="AP15">
        <f>COUNTIFS('List Project'!C:C,"2024",'List Project'!D:D,"November",'List Project'!F:F,"Nomor Akses")</f>
        <v>4</v>
      </c>
      <c r="AQ15">
        <f>COUNTIFS('List Project'!C:C,"2024",'List Project'!D:D,"Desember",'List Project'!F:F,"Nomor Akses")</f>
        <v>1</v>
      </c>
      <c r="AU15" s="1" t="s">
        <v>1135</v>
      </c>
      <c r="AV15" s="3">
        <f>COUNTIFS('List Order'!C:C,"2024",'List Order'!B:B,"Januari",'List Order'!H:H,"Upgrade",'List Order'!I:I,"IPPBX")</f>
        <v>0</v>
      </c>
      <c r="AW15" s="15">
        <f>SUMIFS('List Order'!T:T,'List Order'!C:C,"2024",'List Order'!B:B,"Januari",'List Order'!H:H,"Upgrade",'List Order'!I:I,"IPPBX")</f>
        <v>0</v>
      </c>
      <c r="AX15" s="3">
        <f>COUNTIFS('List Order'!C:C,"2024",'List Order'!B:B,"Februari",'List Order'!H:H,"Upgrade",'List Order'!I:I,"IPPBX")</f>
        <v>0</v>
      </c>
      <c r="AY15" s="15">
        <f>SUMIFS('List Order'!T:T,'List Order'!C:C,"2024",'List Order'!B:B,"Februari",'List Order'!H:H,"Upgrade",'List Order'!I:I,"IPPBX")</f>
        <v>0</v>
      </c>
      <c r="AZ15" s="3">
        <f>COUNTIFS('List Order'!C:C,"2024",'List Order'!B:B,"Maret",'List Order'!H:H,"Upgrade",'List Order'!I:I,"IPPBX")</f>
        <v>0</v>
      </c>
      <c r="BA15" s="15">
        <f>SUMIFS('List Order'!T:T,'List Order'!C:C,"2024",'List Order'!B:B,"Maret",'List Order'!H:H,"Upgrade",'List Order'!I:I,"IPPBX")</f>
        <v>0</v>
      </c>
      <c r="BB15" s="3">
        <f>COUNTIFS('List Order'!C:C,"2024",'List Order'!B:B,"April",'List Order'!H:H,"Upgrade",'List Order'!I:I,"IPPBX")</f>
        <v>0</v>
      </c>
      <c r="BC15" s="15">
        <f>SUMIFS('List Order'!T:T,'List Order'!C:C,"2024",'List Order'!B:B,"April",'List Order'!H:H,"Upgrade",'List Order'!I:I,"IPPBX")</f>
        <v>0</v>
      </c>
      <c r="BD15" s="3">
        <f>COUNTIFS('List Order'!C:C,"2024",'List Order'!B:B,"Mei",'List Order'!H:H,"Upgrade",'List Order'!I:I,"IPPBX")</f>
        <v>0</v>
      </c>
      <c r="BE15" s="15">
        <f>SUMIFS('List Order'!T:T,'List Order'!C:C,"2024",'List Order'!B:B,"Mei",'List Order'!H:H,"Upgrade",'List Order'!I:I,"IPPBX")</f>
        <v>0</v>
      </c>
      <c r="BF15" s="3">
        <f>COUNTIFS('List Order'!C:C,"2024",'List Order'!B:B,"Juni",'List Order'!H:H,"Upgrade",'List Order'!I:I,"IPPBX")</f>
        <v>0</v>
      </c>
      <c r="BG15" s="15">
        <f>SUMIFS('List Order'!T:T,'List Order'!C:C,"2024",'List Order'!B:B,"Juni",'List Order'!H:H,"Upgrade",'List Order'!I:I,"IPPBX")</f>
        <v>0</v>
      </c>
      <c r="BH15" s="3">
        <f>COUNTIFS('List Order'!C:C,"2024",'List Order'!B:B,"Juli",'List Order'!H:H,"Upgrade",'List Order'!I:I,"IPPBX")</f>
        <v>0</v>
      </c>
      <c r="BI15" s="15">
        <f>SUMIFS('List Order'!T:T,'List Order'!C:C,"2024",'List Order'!B:B,"Juli",'List Order'!H:H,"Upgrade",'List Order'!I:I,"IPPBX")</f>
        <v>0</v>
      </c>
      <c r="BJ15" s="3">
        <f>COUNTIFS('List Order'!C:C,"2024",'List Order'!B:B,"Agustus",'List Order'!H:H,"Upgrade",'List Order'!I:I,"IPPBX")</f>
        <v>0</v>
      </c>
      <c r="BK15" s="15">
        <f>SUMIFS('List Order'!T:T,'List Order'!C:C,"2024",'List Order'!B:B,"Agustus",'List Order'!H:H,"Upgrade",'List Order'!I:I,"IPPBX")</f>
        <v>0</v>
      </c>
      <c r="BL15" s="3">
        <f>COUNTIFS('List Order'!C:C,"2024",'List Order'!B:B,"September",'List Order'!H:H,"Upgrade",'List Order'!I:I,"IPPBX")</f>
        <v>0</v>
      </c>
      <c r="BM15" s="15">
        <f>SUMIFS('List Order'!T:T,'List Order'!C:C,"2024",'List Order'!B:B,"September",'List Order'!H:H,"Upgrade",'List Order'!I:I,"IPPBX")</f>
        <v>0</v>
      </c>
      <c r="BN15" s="3">
        <f>COUNTIFS('List Order'!C:C,"2024",'List Order'!B:B,"Oktober",'List Order'!H:H,"Upgrade",'List Order'!I:I,"IPPBX")</f>
        <v>0</v>
      </c>
      <c r="BO15" s="15">
        <f>SUMIFS('List Order'!T:T,'List Order'!C:C,"2024",'List Order'!B:B,"Oktober",'List Order'!H:H,"Upgrade",'List Order'!I:I,"IPPBX")</f>
        <v>0</v>
      </c>
      <c r="BP15" s="3">
        <f>COUNTIFS('List Order'!C:C,"2024",'List Order'!B:B,"November",'List Order'!H:H,"Upgrade",'List Order'!I:I,"IPPBX")</f>
        <v>0</v>
      </c>
      <c r="BQ15" s="15">
        <f>SUMIFS('List Order'!T:T,'List Order'!C:C,"2024",'List Order'!B:B,"November",'List Order'!H:H,"Upgrade",'List Order'!I:I,"IPPBX")</f>
        <v>0</v>
      </c>
      <c r="BR15" s="3">
        <f>COUNTIFS('List Order'!C:C,"2024",'List Order'!B:B,"Desember",'List Order'!H:H,"Upgrade",'List Order'!I:I,"IPPBX")</f>
        <v>0</v>
      </c>
      <c r="BS15" s="15">
        <f>SUMIFS('List Order'!T:T,'List Order'!C:C,"2024",'List Order'!B:B,"Desember",'List Order'!H:H,"Upgrade",'List Order'!I:I,"IPPBX")</f>
        <v>0</v>
      </c>
    </row>
    <row r="16" spans="2:71">
      <c r="C16" s="180"/>
      <c r="D16" s="180"/>
      <c r="E16" s="180"/>
      <c r="F16" s="180"/>
      <c r="G16" s="180"/>
      <c r="H16" s="180"/>
      <c r="AU16" s="1" t="s">
        <v>1556</v>
      </c>
      <c r="AV16" s="3">
        <f>COUNTIFS('List Order'!C:C,"2024",'List Order'!B:B,"Januari",'List Order'!H:H,"Downgrade",'List Order'!I:I,"IPPBX")</f>
        <v>0</v>
      </c>
      <c r="AW16" s="15">
        <f>SUMIFS('List Order'!T:T,'List Order'!C:C,"2024",'List Order'!B:B,"Januari",'List Order'!H:H,"Downgrade",'List Order'!I:I,"IPPBX")</f>
        <v>0</v>
      </c>
      <c r="AX16" s="3">
        <f>COUNTIFS('List Order'!C:C,"2024",'List Order'!B:B,"Februari",'List Order'!H:H,"Downgrade",'List Order'!I:I,"IPPBX")</f>
        <v>0</v>
      </c>
      <c r="AY16" s="15">
        <f>SUMIFS('List Order'!T:T,'List Order'!C:C,"2024",'List Order'!B:B,"Februari",'List Order'!H:H,"Downgrade",'List Order'!I:I,"IPPBX")</f>
        <v>0</v>
      </c>
      <c r="AZ16" s="3">
        <f>COUNTIFS('List Order'!C:C,"2024",'List Order'!B:B,"Maret",'List Order'!H:H,"Downgrade",'List Order'!I:I,"IPPBX")</f>
        <v>0</v>
      </c>
      <c r="BA16" s="15">
        <f>SUMIFS('List Order'!T:T,'List Order'!C:C,"2024",'List Order'!B:B,"Maret",'List Order'!H:H,"Downgrade",'List Order'!I:I,"IPPBX")</f>
        <v>0</v>
      </c>
      <c r="BB16" s="3">
        <f>COUNTIFS('List Order'!C:C,"2024",'List Order'!B:B,"April",'List Order'!H:H,"Downgrade",'List Order'!I:I,"IPPBX")</f>
        <v>0</v>
      </c>
      <c r="BC16" s="15">
        <f>SUMIFS('List Order'!T:T,'List Order'!C:C,"2024",'List Order'!B:B,"April",'List Order'!H:H,"Downgrade",'List Order'!I:I,"IPPBX")</f>
        <v>0</v>
      </c>
      <c r="BD16" s="3">
        <f>COUNTIFS('List Order'!C:C,"2024",'List Order'!B:B,"Mei",'List Order'!H:H,"Downgrade",'List Order'!I:I,"IPPBX")</f>
        <v>0</v>
      </c>
      <c r="BE16" s="15">
        <f>SUMIFS('List Order'!T:T,'List Order'!C:C,"2024",'List Order'!B:B,"Mei",'List Order'!H:H,"Downgrade",'List Order'!I:I,"IPPBX")</f>
        <v>0</v>
      </c>
      <c r="BF16" s="3">
        <f>COUNTIFS('List Order'!C:C,"2024",'List Order'!B:B,"Juni",'List Order'!H:H,"Downgrade",'List Order'!I:I,"IPPBX")</f>
        <v>0</v>
      </c>
      <c r="BG16" s="15">
        <f>SUMIFS('List Order'!T:T,'List Order'!C:C,"2024",'List Order'!B:B,"Juni",'List Order'!H:H,"Downgrade",'List Order'!I:I,"IPPBX")</f>
        <v>0</v>
      </c>
      <c r="BH16" s="3">
        <f>COUNTIFS('List Order'!C:C,"2024",'List Order'!B:B,"Juli",'List Order'!H:H,"Downgrade",'List Order'!I:I,"IPPBX")</f>
        <v>0</v>
      </c>
      <c r="BI16" s="15">
        <f>SUMIFS('List Order'!T:T,'List Order'!C:C,"2024",'List Order'!B:B,"Juli",'List Order'!H:H,"Downgrade",'List Order'!I:I,"IPPBX")</f>
        <v>0</v>
      </c>
      <c r="BJ16" s="3">
        <f>COUNTIFS('List Order'!C:C,"2024",'List Order'!B:B,"Agustus",'List Order'!H:H,"Downgrade",'List Order'!I:I,"IPPBX")</f>
        <v>0</v>
      </c>
      <c r="BK16" s="15">
        <f>SUMIFS('List Order'!T:T,'List Order'!C:C,"2024",'List Order'!B:B,"Agustus",'List Order'!H:H,"Downgrade",'List Order'!I:I,"IPPBX")</f>
        <v>0</v>
      </c>
      <c r="BL16" s="3">
        <f>COUNTIFS('List Order'!C:C,"2024",'List Order'!B:B,"September",'List Order'!H:H,"Downgrade",'List Order'!I:I,"IPPBX")</f>
        <v>0</v>
      </c>
      <c r="BM16" s="15">
        <f>SUMIFS('List Order'!T:T,'List Order'!C:C,"2024",'List Order'!B:B,"September",'List Order'!H:H,"Downgrade",'List Order'!I:I,"IPPBX")</f>
        <v>0</v>
      </c>
      <c r="BN16" s="3">
        <f>COUNTIFS('List Order'!C:C,"2024",'List Order'!B:B,"Oktober",'List Order'!H:H,"Downgrade",'List Order'!I:I,"IPPBX")</f>
        <v>0</v>
      </c>
      <c r="BO16" s="15">
        <f>SUMIFS('List Order'!T:T,'List Order'!C:C,"2024",'List Order'!B:B,"Oktober",'List Order'!H:H,"Downgrade",'List Order'!I:I,"IPPBX")</f>
        <v>0</v>
      </c>
      <c r="BP16" s="3">
        <f>COUNTIFS('List Order'!C:C,"2024",'List Order'!B:B,"November",'List Order'!H:H,"Downgrade",'List Order'!I:I,"IPPBX")</f>
        <v>0</v>
      </c>
      <c r="BQ16" s="15">
        <f>SUMIFS('List Order'!T:T,'List Order'!C:C,"2024",'List Order'!B:B,"November",'List Order'!H:H,"Downgrade",'List Order'!I:I,"IPPBX")</f>
        <v>0</v>
      </c>
      <c r="BR16" s="3">
        <f>COUNTIFS('List Order'!C:C,"2024",'List Order'!B:B,"Desember",'List Order'!H:H,"Downgrade",'List Order'!I:I,"IPPBX")</f>
        <v>0</v>
      </c>
      <c r="BS16" s="15">
        <f>SUMIFS('List Order'!T:T,'List Order'!C:C,"2024",'List Order'!B:B,"Desember",'List Order'!H:H,"Downgrade",'List Order'!I:I,"IPPBX")</f>
        <v>0</v>
      </c>
    </row>
    <row r="17" spans="3:71" ht="18.75">
      <c r="C17" s="31"/>
      <c r="D17" s="31"/>
      <c r="E17" s="31"/>
      <c r="F17" s="31"/>
      <c r="G17" s="31"/>
      <c r="H17" s="31"/>
      <c r="AF17" s="13" t="s">
        <v>3221</v>
      </c>
      <c r="AG17" s="13" t="s">
        <v>32</v>
      </c>
      <c r="AH17" s="13" t="s">
        <v>460</v>
      </c>
      <c r="AI17" s="13" t="s">
        <v>3234</v>
      </c>
      <c r="AL17" t="s">
        <v>45</v>
      </c>
      <c r="AM17" t="s">
        <v>51</v>
      </c>
      <c r="AN17" t="s">
        <v>31</v>
      </c>
      <c r="AO17" t="s">
        <v>69</v>
      </c>
      <c r="AU17" s="4" t="s">
        <v>3229</v>
      </c>
      <c r="AV17" s="5">
        <f>COUNTIFS('List Order'!C:C,"2024",'List Order'!B:B,"Januari",'List Order'!H:H,"Dismantle",'List Order'!I:I,"IPPBX")</f>
        <v>0</v>
      </c>
      <c r="AW17" s="16">
        <f>SUMIFS('List Order'!T:T,'List Order'!C:C,"2024",'List Order'!B:B,"Januari",'List Order'!H:H,"Dismantle",'List Order'!I:I,"IPPBX")</f>
        <v>0</v>
      </c>
      <c r="AX17" s="5">
        <f>COUNTIFS('List Order'!C:C,"2024",'List Order'!B:B,"Februari",'List Order'!H:H,"Dismantle",'List Order'!I:I,"IPPBX")</f>
        <v>0</v>
      </c>
      <c r="AY17" s="16">
        <f>SUMIFS('List Order'!T:T,'List Order'!C:C,"2024",'List Order'!B:B,"Februari",'List Order'!H:H,"Dismantle",'List Order'!I:I,"IPPBX")</f>
        <v>0</v>
      </c>
      <c r="AZ17" s="5">
        <f>COUNTIFS('List Order'!C:C,"2024",'List Order'!B:B,"Maret",'List Order'!H:H,"Dismantle",'List Order'!I:I,"IPPBX")</f>
        <v>0</v>
      </c>
      <c r="BA17" s="16">
        <f>SUMIFS('List Order'!T:T,'List Order'!C:C,"2024",'List Order'!B:B,"Maret",'List Order'!H:H,"Dismantle",'List Order'!I:I,"IPPBX")</f>
        <v>0</v>
      </c>
      <c r="BB17" s="5">
        <f>COUNTIFS('List Order'!C:C,"2024",'List Order'!B:B,"April",'List Order'!H:H,"Dismantle",'List Order'!I:I,"IPPBX")</f>
        <v>1</v>
      </c>
      <c r="BC17" s="16">
        <f>SUMIFS('List Order'!T:T,'List Order'!C:C,"2024",'List Order'!B:B,"April",'List Order'!H:H,"Dismantle",'List Order'!I:I,"IPPBX")</f>
        <v>2300000</v>
      </c>
      <c r="BD17" s="5">
        <f>COUNTIFS('List Order'!C:C,"2024",'List Order'!B:B,"Mei",'List Order'!H:H,"Dismantle",'List Order'!I:I,"IPPBX")</f>
        <v>0</v>
      </c>
      <c r="BE17" s="16">
        <f>SUMIFS('List Order'!T:T,'List Order'!C:C,"2024",'List Order'!B:B,"Mei",'List Order'!H:H,"Dismantle",'List Order'!I:I,"IPPBX")</f>
        <v>0</v>
      </c>
      <c r="BF17" s="5">
        <f>COUNTIFS('List Order'!C:C,"2024",'List Order'!B:B,"Juni",'List Order'!H:H,"Dismantle",'List Order'!I:I,"IPPBX")</f>
        <v>0</v>
      </c>
      <c r="BG17" s="16">
        <f>SUMIFS('List Order'!T:T,'List Order'!C:C,"2024",'List Order'!B:B,"Juni",'List Order'!H:H,"Dismantle",'List Order'!I:I,"IPPBX")</f>
        <v>0</v>
      </c>
      <c r="BH17" s="5">
        <f>COUNTIFS('List Order'!C:C,"2024",'List Order'!B:B,"Juli",'List Order'!H:H,"Dismantle",'List Order'!I:I,"IPPBX")</f>
        <v>0</v>
      </c>
      <c r="BI17" s="16">
        <f>SUMIFS('List Order'!T:T,'List Order'!C:C,"2024",'List Order'!B:B,"Juli",'List Order'!H:H,"Dismantle",'List Order'!I:I,"IPPBX")</f>
        <v>0</v>
      </c>
      <c r="BJ17" s="5">
        <f>COUNTIFS('List Order'!C:C,"2024",'List Order'!B:B,"Agustus",'List Order'!H:H,"Dismantle",'List Order'!I:I,"IPPBX")</f>
        <v>0</v>
      </c>
      <c r="BK17" s="16">
        <f>SUMIFS('List Order'!T:T,'List Order'!C:C,"2024",'List Order'!B:B,"Agustus",'List Order'!H:H,"Dismantle",'List Order'!I:I,"IPPBX")</f>
        <v>0</v>
      </c>
      <c r="BL17" s="5">
        <f>COUNTIFS('List Order'!C:C,"2024",'List Order'!B:B,"September",'List Order'!H:H,"Dismantle",'List Order'!I:I,"IPPBX")</f>
        <v>1</v>
      </c>
      <c r="BM17" s="16">
        <f>SUMIFS('List Order'!T:T,'List Order'!C:C,"2024",'List Order'!B:B,"September",'List Order'!H:H,"Dismantle",'List Order'!I:I,"IPPBX")</f>
        <v>0</v>
      </c>
      <c r="BN17" s="5">
        <f>COUNTIFS('List Order'!C:C,"2024",'List Order'!B:B,"Oktober",'List Order'!H:H,"Dismantle",'List Order'!I:I,"IPPBX")</f>
        <v>0</v>
      </c>
      <c r="BO17" s="16">
        <f>SUMIFS('List Order'!T:T,'List Order'!C:C,"2024",'List Order'!B:B,"Oktober",'List Order'!H:H,"Dismantle",'List Order'!I:I,"IPPBX")</f>
        <v>0</v>
      </c>
      <c r="BP17" s="5">
        <f>COUNTIFS('List Order'!C:C,"2024",'List Order'!B:B,"November",'List Order'!H:H,"Dismantle",'List Order'!I:I,"IPPBX")</f>
        <v>0</v>
      </c>
      <c r="BQ17" s="16">
        <f>SUMIFS('List Order'!T:T,'List Order'!C:C,"2024",'List Order'!B:B,"November",'List Order'!H:H,"Dismantle",'List Order'!I:I,"IPPBX")</f>
        <v>0</v>
      </c>
      <c r="BR17" s="5">
        <f>COUNTIFS('List Order'!C:C,"2024",'List Order'!B:B,"Desember",'List Order'!H:H,"Dismantle",'List Order'!I:I,"IPPBX")</f>
        <v>0</v>
      </c>
      <c r="BS17" s="16">
        <f>SUMIFS('List Order'!T:T,'List Order'!C:C,"2024",'List Order'!B:B,"Desember",'List Order'!H:H,"Dismantle",'List Order'!I:I,"IPPBX")</f>
        <v>0</v>
      </c>
    </row>
    <row r="18" spans="3:71" ht="27.75">
      <c r="C18" s="32"/>
      <c r="D18" s="33"/>
      <c r="E18" s="32"/>
      <c r="F18" s="33"/>
      <c r="G18" s="32"/>
      <c r="H18" s="33"/>
      <c r="AE18" t="s">
        <v>45</v>
      </c>
      <c r="AF18" s="17">
        <f>SUM(AF3:AQ3)</f>
        <v>12</v>
      </c>
      <c r="AG18">
        <f>COUNTIFS('List Project'!C:C,"2024",'List Project'!P:P,"Done",'List Project'!O:O,"Adi")</f>
        <v>10</v>
      </c>
      <c r="AH18">
        <f>COUNTIFS('List Project'!C:C,"2024",'List Project'!P:P,"OGP",'List Project'!O:O,"Adi")</f>
        <v>0</v>
      </c>
      <c r="AI18" s="17">
        <f>SUMIF('List Project'!O:O,"Adi",'List Project'!I:I)</f>
        <v>124082524515</v>
      </c>
      <c r="AK18" t="s">
        <v>3235</v>
      </c>
      <c r="AL18" s="17">
        <f>AF18</f>
        <v>12</v>
      </c>
      <c r="AM18" s="17">
        <f>AF19</f>
        <v>85</v>
      </c>
      <c r="AN18" s="17">
        <f>AF20</f>
        <v>121</v>
      </c>
      <c r="AO18" s="17">
        <f>AF21</f>
        <v>97</v>
      </c>
      <c r="AU18" s="11" t="s">
        <v>3236</v>
      </c>
      <c r="AV18" s="9">
        <f>COUNTIFS('List Order'!B:B,"Januari",'List Order'!I:I,"Colocation",'List Order'!C:C,"2024")</f>
        <v>0</v>
      </c>
      <c r="AW18" s="14"/>
      <c r="AX18" s="9">
        <f>COUNTIFS('List Order'!B:B,"Februari",'List Order'!I:I,"Colocation",'List Order'!C:C,"2024")</f>
        <v>0</v>
      </c>
      <c r="AY18" s="14"/>
      <c r="AZ18" s="9">
        <f>COUNTIFS('List Order'!B:B,"Maret",'List Order'!I:I,"Colocation",'List Order'!C:C,"2024")</f>
        <v>0</v>
      </c>
      <c r="BA18" s="14"/>
      <c r="BB18" s="9">
        <f>COUNTIFS('List Order'!B:B,"April",'List Order'!I:I,"Colocation",'List Order'!C:C,"2024")</f>
        <v>0</v>
      </c>
      <c r="BC18" s="14"/>
      <c r="BD18" s="9">
        <f>COUNTIFS('List Order'!B:B,"Mei",'List Order'!I:I,"Colocation",'List Order'!C:C,"2024")</f>
        <v>1</v>
      </c>
      <c r="BE18" s="14"/>
      <c r="BF18" s="9">
        <f>COUNTIFS('List Order'!B:B,"Juni",'List Order'!I:I,"Colocation",'List Order'!C:C,"2024")</f>
        <v>2</v>
      </c>
      <c r="BG18" s="14"/>
      <c r="BH18" s="9">
        <f>COUNTIFS('List Order'!B:B,"Juli",'List Order'!I:I,"Colocation",'List Order'!C:C,"2024")</f>
        <v>0</v>
      </c>
      <c r="BI18" s="14"/>
      <c r="BJ18" s="9">
        <f>COUNTIFS('List Order'!B:B,"Agustus",'List Order'!I:I,"Colocation",'List Order'!C:C,"2024")</f>
        <v>0</v>
      </c>
      <c r="BK18" s="14"/>
      <c r="BL18" s="9">
        <f>COUNTIFS('List Order'!B:B,"September",'List Order'!I:I,"Colocation",'List Order'!C:C,"2024")</f>
        <v>0</v>
      </c>
      <c r="BM18" s="14"/>
      <c r="BN18" s="9">
        <f>COUNTIFS('List Order'!B:B,"Oktober",'List Order'!I:I,"Colocation",'List Order'!C:C,"2024")</f>
        <v>0</v>
      </c>
      <c r="BO18" s="14"/>
      <c r="BP18" s="9">
        <f>COUNTIFS('List Order'!B:B,"November",'List Order'!I:I,"Colocation",'List Order'!C:C,"2024")</f>
        <v>0</v>
      </c>
      <c r="BQ18" s="14"/>
      <c r="BR18" s="9">
        <f>COUNTIFS('List Order'!B:B,"Desember",'List Order'!I:I,"Colocation",'List Order'!C:C,"2024")</f>
        <v>0</v>
      </c>
      <c r="BS18" s="14"/>
    </row>
    <row r="19" spans="3:71" ht="18.75">
      <c r="E19" s="181"/>
      <c r="F19" s="181"/>
      <c r="AE19" t="s">
        <v>51</v>
      </c>
      <c r="AF19" s="17">
        <f>SUM(AF4:AQ4)</f>
        <v>85</v>
      </c>
      <c r="AG19">
        <f>COUNTIFS('List Project'!C:C,"2024",'List Project'!P:P,"Done",'List Project'!O:O,"Dwi")</f>
        <v>38</v>
      </c>
      <c r="AH19">
        <f>COUNTIFS('List Project'!C:C,"2024",'List Project'!P:P,"OGP",'List Project'!O:O,"Dwi")</f>
        <v>0</v>
      </c>
      <c r="AI19" s="17">
        <f>SUMIF('List Project'!O:O,"Dwi",'List Project'!I:I)</f>
        <v>439867703148.68005</v>
      </c>
      <c r="AK19" t="s">
        <v>3237</v>
      </c>
      <c r="AL19">
        <f>AG18</f>
        <v>10</v>
      </c>
      <c r="AM19">
        <f>AG19</f>
        <v>38</v>
      </c>
      <c r="AN19">
        <f>AG20</f>
        <v>62</v>
      </c>
      <c r="AO19">
        <f>AG21</f>
        <v>40</v>
      </c>
      <c r="AU19" s="1" t="s">
        <v>1633</v>
      </c>
      <c r="AV19" s="3">
        <f>COUNTIFS('List Order'!C:C,"2024",'List Order'!B:B,"Januari",'List Order'!H:H,"PSB",'List Order'!I:I,"Colocation")</f>
        <v>0</v>
      </c>
      <c r="AW19" s="15">
        <f>SUMIFS('List Order'!T:T,'List Order'!C:C,"2024",'List Order'!B:B,"Januari",'List Order'!H:H,"PSB",'List Order'!I:I,"Colocation")</f>
        <v>0</v>
      </c>
      <c r="AX19" s="3">
        <f>COUNTIFS('List Order'!C:C,"2024",'List Order'!B:B,"Februari",'List Order'!H:H,"PSB",'List Order'!I:I,"Colocation")</f>
        <v>0</v>
      </c>
      <c r="AY19" s="15">
        <f>SUMIFS('List Order'!T:T,'List Order'!C:C,"2024",'List Order'!B:B,"Februari",'List Order'!H:H,"PSB",'List Order'!I:I,"Colocation")</f>
        <v>0</v>
      </c>
      <c r="AZ19" s="3">
        <f>COUNTIFS('List Order'!C:C,"2024",'List Order'!B:B,"Maret",'List Order'!H:H,"PSB",'List Order'!I:I,"Colocation")</f>
        <v>0</v>
      </c>
      <c r="BA19" s="15">
        <f>SUMIFS('List Order'!T:T,'List Order'!C:C,"2024",'List Order'!B:B,"Maret",'List Order'!H:H,"PSB",'List Order'!I:I,"Colocation")</f>
        <v>0</v>
      </c>
      <c r="BB19" s="3">
        <f>COUNTIFS('List Order'!C:C,"2024",'List Order'!B:B,"April",'List Order'!H:H,"PSB",'List Order'!I:I,"Colocation")</f>
        <v>0</v>
      </c>
      <c r="BC19" s="15">
        <f>SUMIFS('List Order'!T:T,'List Order'!C:C,"2024",'List Order'!B:B,"April",'List Order'!H:H,"PSB",'List Order'!I:I,"Colocation")</f>
        <v>0</v>
      </c>
      <c r="BD19" s="3">
        <f>COUNTIFS('List Order'!C:C,"2024",'List Order'!B:B,"Mei",'List Order'!H:H,"PSB",'List Order'!I:I,"Colocation")</f>
        <v>0</v>
      </c>
      <c r="BE19" s="15">
        <f>SUMIFS('List Order'!T:T,'List Order'!C:C,"2024",'List Order'!B:B,"Mei",'List Order'!H:H,"PSB",'List Order'!I:I,"Colocation")</f>
        <v>0</v>
      </c>
      <c r="BF19" s="3">
        <f>COUNTIFS('List Order'!C:C,"2024",'List Order'!B:B,"Juni",'List Order'!H:H,"PSB",'List Order'!I:I,"Colocation")</f>
        <v>1</v>
      </c>
      <c r="BG19" s="15">
        <f>SUMIFS('List Order'!T:T,'List Order'!C:C,"2024",'List Order'!B:B,"Juni",'List Order'!H:H,"PSB",'List Order'!I:I,"Colocation")</f>
        <v>0</v>
      </c>
      <c r="BH19" s="3">
        <f>COUNTIFS('List Order'!C:C,"2024",'List Order'!B:B,"Juli",'List Order'!H:H,"PSB",'List Order'!I:I,"Colocation")</f>
        <v>0</v>
      </c>
      <c r="BI19" s="15">
        <f>SUMIFS('List Order'!T:T,'List Order'!C:C,"2024",'List Order'!B:B,"Juli",'List Order'!H:H,"PSB",'List Order'!I:I,"Colocation")</f>
        <v>0</v>
      </c>
      <c r="BJ19" s="3">
        <f>COUNTIFS('List Order'!C:C,"2024",'List Order'!B:B,"Agustus",'List Order'!H:H,"PSB",'List Order'!I:I,"Colocation")</f>
        <v>0</v>
      </c>
      <c r="BK19" s="15">
        <f>SUMIFS('List Order'!T:T,'List Order'!C:C,"2024",'List Order'!B:B,"Agustus",'List Order'!H:H,"PSB",'List Order'!I:I,"Colocation")</f>
        <v>0</v>
      </c>
      <c r="BL19" s="3">
        <f>COUNTIFS('List Order'!C:C,"2024",'List Order'!B:B,"September",'List Order'!H:H,"PSB",'List Order'!I:I,"Colocation")</f>
        <v>0</v>
      </c>
      <c r="BM19" s="15">
        <f>SUMIFS('List Order'!T:T,'List Order'!C:C,"2024",'List Order'!B:B,"September",'List Order'!H:H,"PSB",'List Order'!I:I,"Colocation")</f>
        <v>0</v>
      </c>
      <c r="BN19" s="3">
        <f>COUNTIFS('List Order'!C:C,"2024",'List Order'!B:B,"Oktober",'List Order'!H:H,"PSB",'List Order'!I:I,"Colocation")</f>
        <v>0</v>
      </c>
      <c r="BO19" s="15">
        <f>SUMIFS('List Order'!T:T,'List Order'!C:C,"2024",'List Order'!B:B,"Oktober",'List Order'!H:H,"PSB",'List Order'!I:I,"Colocation")</f>
        <v>0</v>
      </c>
      <c r="BP19" s="3">
        <f>COUNTIFS('List Order'!C:C,"2024",'List Order'!B:B,"November",'List Order'!H:H,"PSB",'List Order'!I:I,"Colocation")</f>
        <v>0</v>
      </c>
      <c r="BQ19" s="15">
        <f>SUMIFS('List Order'!T:T,'List Order'!C:C,"2024",'List Order'!B:B,"November",'List Order'!H:H,"PSB",'List Order'!I:I,"Colocation")</f>
        <v>0</v>
      </c>
      <c r="BR19" s="3">
        <f>COUNTIFS('List Order'!C:C,"2024",'List Order'!B:B,"Desember",'List Order'!H:H,"PSB",'List Order'!I:I,"Colocation")</f>
        <v>0</v>
      </c>
      <c r="BS19" s="15">
        <f>SUMIFS('List Order'!T:T,'List Order'!C:C,"2024",'List Order'!B:B,"Desember",'List Order'!H:H,"PSB",'List Order'!I:I,"Colocation")</f>
        <v>0</v>
      </c>
    </row>
    <row r="20" spans="3:71">
      <c r="C20" s="182"/>
      <c r="D20" s="182"/>
      <c r="E20" s="182"/>
      <c r="F20" s="182"/>
      <c r="G20" s="182"/>
      <c r="H20" s="182"/>
      <c r="AE20" t="s">
        <v>31</v>
      </c>
      <c r="AF20" s="17">
        <f>SUM(AF5:AQ5)</f>
        <v>121</v>
      </c>
      <c r="AG20">
        <f>COUNTIFS('List Project'!C:C,"2024",'List Project'!P:P,"Done",'List Project'!O:O,"Duta")</f>
        <v>62</v>
      </c>
      <c r="AH20">
        <f>COUNTIFS('List Project'!C:C,"2024",'List Project'!P:P,"OGP",'List Project'!O:O,"Duta")</f>
        <v>0</v>
      </c>
      <c r="AI20" s="17">
        <f>SUMIF('List Project'!O:O,"Duta",'List Project'!I:I)</f>
        <v>331726604998.56</v>
      </c>
      <c r="AK20" t="s">
        <v>3238</v>
      </c>
      <c r="AL20">
        <f>AH18</f>
        <v>0</v>
      </c>
      <c r="AM20">
        <f>AH19</f>
        <v>0</v>
      </c>
      <c r="AN20">
        <f>AH20</f>
        <v>0</v>
      </c>
      <c r="AO20">
        <f>AH21</f>
        <v>0</v>
      </c>
      <c r="AU20" s="4" t="s">
        <v>3229</v>
      </c>
      <c r="AV20" s="5">
        <f>COUNTIFS('List Order'!C:C,"2024",'List Order'!B:B,"Januari",'List Order'!H:H,"Dismantle",'List Order'!I:I,"Colocation")</f>
        <v>0</v>
      </c>
      <c r="AW20" s="16">
        <f>SUMIFS('List Order'!T:T,'List Order'!C:C,"2024",'List Order'!B:B,"Januari",'List Order'!H:H,"Dismantle",'List Order'!I:I,"Colocation")</f>
        <v>0</v>
      </c>
      <c r="AX20" s="5">
        <f>COUNTIFS('List Order'!C:C,"2024",'List Order'!B:B,"Februari",'List Order'!H:H,"Dismantle",'List Order'!I:I,"Colocation")</f>
        <v>0</v>
      </c>
      <c r="AY20" s="16">
        <f>SUMIFS('List Order'!T:T,'List Order'!C:C,"2024",'List Order'!B:B,"Februari",'List Order'!H:H,"Dismantle",'List Order'!I:I,"Colocation")</f>
        <v>0</v>
      </c>
      <c r="AZ20" s="5">
        <f>COUNTIFS('List Order'!C:C,"2024",'List Order'!B:B,"Maret",'List Order'!H:H,"Dismantle",'List Order'!I:I,"Colocation")</f>
        <v>0</v>
      </c>
      <c r="BA20" s="16">
        <f>SUMIFS('List Order'!T:T,'List Order'!C:C,"2024",'List Order'!B:B,"Maret",'List Order'!H:H,"Dismantle",'List Order'!I:I,"Colocation")</f>
        <v>0</v>
      </c>
      <c r="BB20" s="5">
        <f>COUNTIFS('List Order'!C:C,"2024",'List Order'!B:B,"April",'List Order'!H:H,"Dismantle",'List Order'!I:I,"Colocation")</f>
        <v>0</v>
      </c>
      <c r="BC20" s="16">
        <f>SUMIFS('List Order'!T:T,'List Order'!C:C,"2024",'List Order'!B:B,"April",'List Order'!H:H,"Dismantle",'List Order'!I:I,"Colocation")</f>
        <v>0</v>
      </c>
      <c r="BD20" s="5">
        <f>COUNTIFS('List Order'!C:C,"2024",'List Order'!B:B,"Mei",'List Order'!H:H,"Dismantle",'List Order'!I:I,"Colocation")</f>
        <v>1</v>
      </c>
      <c r="BE20" s="16">
        <f>SUMIFS('List Order'!T:T,'List Order'!C:C,"2024",'List Order'!B:B,"Mei",'List Order'!H:H,"Dismantle",'List Order'!I:I,"Colocation")</f>
        <v>0</v>
      </c>
      <c r="BF20" s="5">
        <f>COUNTIFS('List Order'!C:C,"2024",'List Order'!B:B,"Juni",'List Order'!H:H,"Dismantle",'List Order'!I:I,"Colocation")</f>
        <v>1</v>
      </c>
      <c r="BG20" s="16">
        <f>SUMIFS('List Order'!T:T,'List Order'!C:C,"2024",'List Order'!B:B,"Juni",'List Order'!H:H,"Dismantle",'List Order'!I:I,"Colocation")</f>
        <v>0</v>
      </c>
      <c r="BH20" s="5">
        <f>COUNTIFS('List Order'!C:C,"2024",'List Order'!B:B,"Juli",'List Order'!H:H,"Dismantle",'List Order'!I:I,"Colocation")</f>
        <v>0</v>
      </c>
      <c r="BI20" s="16">
        <f>SUMIFS('List Order'!T:T,'List Order'!C:C,"2024",'List Order'!B:B,"Juli",'List Order'!H:H,"Dismantle",'List Order'!I:I,"Colocation")</f>
        <v>0</v>
      </c>
      <c r="BJ20" s="5">
        <f>COUNTIFS('List Order'!C:C,"2024",'List Order'!B:B,"Agustus",'List Order'!H:H,"Dismantle",'List Order'!I:I,"Colocation")</f>
        <v>0</v>
      </c>
      <c r="BK20" s="16">
        <f>SUMIFS('List Order'!T:T,'List Order'!C:C,"2024",'List Order'!B:B,"Agustus",'List Order'!H:H,"Dismantle",'List Order'!I:I,"Colocation")</f>
        <v>0</v>
      </c>
      <c r="BL20" s="5">
        <f>COUNTIFS('List Order'!C:C,"2024",'List Order'!B:B,"September",'List Order'!H:H,"Dismantle",'List Order'!I:I,"Colocation")</f>
        <v>0</v>
      </c>
      <c r="BM20" s="16">
        <f>SUMIFS('List Order'!T:T,'List Order'!C:C,"2024",'List Order'!B:B,"September",'List Order'!H:H,"Dismantle",'List Order'!I:I,"Colocation")</f>
        <v>0</v>
      </c>
      <c r="BN20" s="5">
        <f>COUNTIFS('List Order'!C:C,"2024",'List Order'!B:B,"Oktober",'List Order'!H:H,"Dismantle",'List Order'!I:I,"Colocation")</f>
        <v>0</v>
      </c>
      <c r="BO20" s="16">
        <f>SUMIFS('List Order'!T:T,'List Order'!C:C,"2024",'List Order'!B:B,"Oktober",'List Order'!H:H,"Dismantle",'List Order'!I:I,"Colocation")</f>
        <v>0</v>
      </c>
      <c r="BP20" s="5">
        <f>COUNTIFS('List Order'!C:C,"2024",'List Order'!B:B,"November",'List Order'!H:H,"Dismantle",'List Order'!I:I,"Colocation")</f>
        <v>0</v>
      </c>
      <c r="BQ20" s="16">
        <f>SUMIFS('List Order'!T:T,'List Order'!C:C,"2024",'List Order'!B:B,"November",'List Order'!H:H,"Dismantle",'List Order'!I:I,"Colocation")</f>
        <v>0</v>
      </c>
      <c r="BR20" s="5">
        <f>COUNTIFS('List Order'!C:C,"2024",'List Order'!B:B,"Desember",'List Order'!H:H,"Dismantle",'List Order'!I:I,"Colocation")</f>
        <v>0</v>
      </c>
      <c r="BS20" s="16">
        <f>SUMIFS('List Order'!T:T,'List Order'!C:C,"2024",'List Order'!B:B,"Desember",'List Order'!H:H,"Dismantle",'List Order'!I:I,"Colocation")</f>
        <v>0</v>
      </c>
    </row>
    <row r="21" spans="3:71">
      <c r="C21" s="182"/>
      <c r="D21" s="182"/>
      <c r="E21" s="182"/>
      <c r="F21" s="182"/>
      <c r="G21" s="182"/>
      <c r="H21" s="182"/>
      <c r="AE21" t="s">
        <v>69</v>
      </c>
      <c r="AF21" s="17">
        <f>SUM(AF6:AQ6)</f>
        <v>97</v>
      </c>
      <c r="AG21">
        <f>COUNTIFS('List Project'!C:C,"2024",'List Project'!P:P,"Done",'List Project'!O:O,"Gugum")</f>
        <v>40</v>
      </c>
      <c r="AH21">
        <f>COUNTIFS('List Project'!C:C,"2024",'List Project'!P:P,"OGP",'List Project'!O:O,"Gugum")</f>
        <v>0</v>
      </c>
      <c r="AI21" s="17">
        <f>SUMIF('List Project'!O:O,"Gugum",'List Project'!I:I)</f>
        <v>1290376508440.78</v>
      </c>
      <c r="AK21" t="s">
        <v>3234</v>
      </c>
      <c r="AL21" s="17">
        <f>AI18</f>
        <v>124082524515</v>
      </c>
      <c r="AM21" s="17">
        <f>AI19</f>
        <v>439867703148.68005</v>
      </c>
      <c r="AN21" s="17">
        <f>AI20</f>
        <v>331726604998.56</v>
      </c>
      <c r="AO21" s="17">
        <f>AI21</f>
        <v>1290376508440.78</v>
      </c>
      <c r="AU21" s="8" t="s">
        <v>3239</v>
      </c>
      <c r="AV21" s="20">
        <f>AV18+AV13+AV8+AV3</f>
        <v>29</v>
      </c>
      <c r="AW21" s="14"/>
      <c r="AX21" s="20">
        <f>AX18+AX13+AX8+AX3</f>
        <v>25</v>
      </c>
      <c r="AY21" s="14"/>
      <c r="AZ21" s="20">
        <f>AZ18+AZ13+AZ8+AZ3</f>
        <v>21</v>
      </c>
      <c r="BA21" s="14"/>
      <c r="BB21" s="20">
        <f>BB18+BB13+BB8+BB3</f>
        <v>14</v>
      </c>
      <c r="BC21" s="14"/>
      <c r="BD21" s="20">
        <f>BD18+BD13+BD8+BD3</f>
        <v>34</v>
      </c>
      <c r="BE21" s="14"/>
      <c r="BF21" s="20">
        <f>BF18+BF13+BF8+BF3</f>
        <v>30</v>
      </c>
      <c r="BG21" s="14"/>
      <c r="BH21" s="20">
        <f>BH18+BH13+BH8+BH3</f>
        <v>64</v>
      </c>
      <c r="BI21" s="14"/>
      <c r="BJ21" s="20">
        <f>BJ18+BJ13+BJ8+BJ3</f>
        <v>19</v>
      </c>
      <c r="BK21" s="14"/>
      <c r="BL21" s="20">
        <f>BL18+BL13+BL8+BL3</f>
        <v>16</v>
      </c>
      <c r="BM21" s="14"/>
      <c r="BN21" s="20">
        <f>BN18+BN13+BN8+BN3</f>
        <v>27</v>
      </c>
      <c r="BO21" s="14"/>
      <c r="BP21" s="20">
        <f>BP18+BP13+BP8+BP3</f>
        <v>20</v>
      </c>
      <c r="BQ21" s="14"/>
      <c r="BR21" s="20">
        <f>BR18+BR13+BR8+BR3</f>
        <v>25</v>
      </c>
      <c r="BS21" s="14"/>
    </row>
    <row r="22" spans="3:71">
      <c r="AU22" s="22" t="s">
        <v>3240</v>
      </c>
      <c r="AV22" s="23">
        <f>COUNTIFS('List Order'!R:R,"Close",'List Order'!C:C,"2024",'List Order'!B:B,"Januari")</f>
        <v>29</v>
      </c>
      <c r="AW22" s="26"/>
      <c r="AX22" s="24">
        <f>COUNTIFS('List Order'!R:R,"Close",'List Order'!C:C,"2024",'List Order'!B:B,"Februari")</f>
        <v>24</v>
      </c>
      <c r="AY22" s="26"/>
      <c r="AZ22" s="24">
        <f>COUNTIFS('List Order'!R:R,"Close",'List Order'!C:C,"2024",'List Order'!B:B,"Maret")</f>
        <v>21</v>
      </c>
      <c r="BA22" s="26"/>
      <c r="BB22" s="24">
        <f>COUNTIFS('List Order'!R:R,"Close",'List Order'!C:C,"2024",'List Order'!B:B,"April")</f>
        <v>14</v>
      </c>
      <c r="BC22" s="26"/>
      <c r="BD22" s="24">
        <f>COUNTIFS('List Order'!R:R,"Close",'List Order'!C:C,"2024",'List Order'!B:B,"Mei")</f>
        <v>34</v>
      </c>
      <c r="BE22" s="26"/>
      <c r="BF22" s="24">
        <f>COUNTIFS('List Order'!R:R,"Close",'List Order'!C:C,"2024",'List Order'!B:B,"Juni")</f>
        <v>9</v>
      </c>
      <c r="BG22" s="26"/>
      <c r="BH22" s="24">
        <f>COUNTIFS('List Order'!R:R,"Close",'List Order'!C:C,"2024",'List Order'!B:B,"Juli")</f>
        <v>23</v>
      </c>
      <c r="BI22" s="26"/>
      <c r="BJ22" s="24">
        <f>COUNTIFS('List Order'!R:R,"Close",'List Order'!C:C,"2024",'List Order'!B:B,"Agustus")</f>
        <v>4</v>
      </c>
      <c r="BK22" s="26"/>
      <c r="BL22" s="24">
        <f>COUNTIFS('List Order'!R:R,"Close",'List Order'!C:C,"2024",'List Order'!B:B,"September")</f>
        <v>0</v>
      </c>
      <c r="BM22" s="26"/>
      <c r="BN22" s="24">
        <f>COUNTIFS('List Order'!R:R,"Close",'List Order'!C:C,"2024",'List Order'!B:B,"Oktober")</f>
        <v>13</v>
      </c>
      <c r="BO22" s="26"/>
      <c r="BP22" s="24">
        <f>COUNTIFS('List Order'!R:R,"Close",'List Order'!C:C,"2024",'List Order'!B:B,"November")</f>
        <v>10</v>
      </c>
      <c r="BQ22" s="26"/>
      <c r="BR22" s="24">
        <f>COUNTIFS('List Order'!R:R,"Close",'List Order'!C:C,"2024",'List Order'!B:B,"Desember")</f>
        <v>10</v>
      </c>
      <c r="BS22" s="26"/>
    </row>
    <row r="23" spans="3:71">
      <c r="AF23" s="13" t="s">
        <v>23</v>
      </c>
      <c r="AG23" s="13" t="s">
        <v>96</v>
      </c>
      <c r="AH23" s="13" t="s">
        <v>144</v>
      </c>
      <c r="AI23" s="13" t="s">
        <v>183</v>
      </c>
      <c r="AJ23" s="13" t="s">
        <v>212</v>
      </c>
      <c r="AK23" s="13" t="s">
        <v>261</v>
      </c>
      <c r="AL23" s="13" t="s">
        <v>274</v>
      </c>
      <c r="AM23" s="13" t="s">
        <v>303</v>
      </c>
      <c r="AN23" s="13" t="s">
        <v>338</v>
      </c>
      <c r="AO23" s="13" t="s">
        <v>358</v>
      </c>
      <c r="AP23" s="13" t="s">
        <v>384</v>
      </c>
      <c r="AQ23" s="13" t="s">
        <v>408</v>
      </c>
      <c r="AU23" s="1" t="s">
        <v>3241</v>
      </c>
      <c r="AV23" s="19">
        <f>COUNTIFS('List Order'!R:R,"Open",'List Order'!C:C,"2024",'List Order'!B:B,"Januari")</f>
        <v>0</v>
      </c>
      <c r="AW23" s="21"/>
      <c r="AX23" s="3">
        <f>COUNTIFS('List Order'!R:R,"Open",'List Order'!C:C,"2024",'List Order'!B:B,"Februari")</f>
        <v>0</v>
      </c>
      <c r="AY23" s="21"/>
      <c r="AZ23" s="3">
        <f>COUNTIFS('List Order'!R:R,"Open",'List Order'!C:C,"2024",'List Order'!B:B,"Maret")</f>
        <v>0</v>
      </c>
      <c r="BA23" s="21"/>
      <c r="BB23" s="3">
        <f>COUNTIFS('List Order'!R:R,"Open",'List Order'!C:C,"2024",'List Order'!B:B,"April")</f>
        <v>0</v>
      </c>
      <c r="BC23" s="21"/>
      <c r="BD23" s="3">
        <f>COUNTIFS('List Order'!R:R,"Open",'List Order'!C:C,"2024",'List Order'!B:B,"Mei")</f>
        <v>0</v>
      </c>
      <c r="BE23" s="21"/>
      <c r="BF23" s="3">
        <f>COUNTIFS('List Order'!R:R,"Open",'List Order'!C:C,"2024",'List Order'!B:B,"Juni")</f>
        <v>0</v>
      </c>
      <c r="BG23" s="21"/>
      <c r="BH23" s="3">
        <f>COUNTIFS('List Order'!R:R,"Open",'List Order'!C:C,"2024",'List Order'!B:B,"Juli")</f>
        <v>0</v>
      </c>
      <c r="BI23" s="21"/>
      <c r="BJ23" s="3">
        <f>COUNTIFS('List Order'!R:R,"Open",'List Order'!C:C,"2024",'List Order'!B:B,"Agustus")</f>
        <v>0</v>
      </c>
      <c r="BK23" s="21"/>
      <c r="BL23" s="3">
        <f>COUNTIFS('List Order'!R:R,"Open",'List Order'!C:C,"2024",'List Order'!B:B,"September")</f>
        <v>0</v>
      </c>
      <c r="BM23" s="21"/>
      <c r="BN23" s="3">
        <f>COUNTIFS('List Order'!R:R,"Open",'List Order'!C:C,"2024",'List Order'!B:B,"Oktober")</f>
        <v>13</v>
      </c>
      <c r="BO23" s="21"/>
      <c r="BP23" s="3">
        <f>COUNTIFS('List Order'!R:R,"Open",'List Order'!C:C,"2024",'List Order'!B:B,"November")</f>
        <v>6</v>
      </c>
      <c r="BQ23" s="21"/>
      <c r="BR23" s="3">
        <f>COUNTIFS('List Order'!R:R,"Open",'List Order'!C:C,"2024",'List Order'!B:B,"Desember")</f>
        <v>10</v>
      </c>
      <c r="BS23" s="21"/>
    </row>
    <row r="24" spans="3:71">
      <c r="AE24" t="s">
        <v>3242</v>
      </c>
      <c r="AF24" s="17">
        <f>AW4+AW5+AW6+AW9+AW10+AW14+AW15+AW19</f>
        <v>99815027</v>
      </c>
      <c r="AG24" s="17">
        <f>AY4+AY5+AY6+AY9+AY10+AY14+AY15+AY19</f>
        <v>35490500</v>
      </c>
      <c r="AH24" s="17">
        <f>BA4+BA5+BA6+BA9+BA10+BA14+BA15+BA19</f>
        <v>326868030</v>
      </c>
      <c r="AI24" s="17">
        <f>BC4+BC5+BC6+BC9+BC10+BC14+BC15+BC19</f>
        <v>140305130</v>
      </c>
      <c r="AJ24" s="17">
        <f>BE4+BE5+BE6+BE9+BE10+BE14+BE15+BE19</f>
        <v>3993000</v>
      </c>
      <c r="AK24" s="17">
        <f>BG4+BG5+BG6+BG9+BG10+BG14+BG15+BG19</f>
        <v>0</v>
      </c>
      <c r="AL24" s="17">
        <f>BI4+BI5+BI6+BI9+BI10+BI14+BI15+BI19</f>
        <v>0</v>
      </c>
      <c r="AM24" s="17">
        <f>BK4+BK5+BK6+BK9+BK10+BK14+BK15+BK19</f>
        <v>0</v>
      </c>
      <c r="AN24" s="17">
        <f>BM4+BM5+BM6+BM9+BM10+BM14+BM15+BM19</f>
        <v>0</v>
      </c>
      <c r="AO24" s="17">
        <f>BO4+BO5+BO6+BO9+BO10+BO14+BO15+BO19</f>
        <v>48700000</v>
      </c>
      <c r="AP24" s="17">
        <f>BQ4+BQ5+BQ6+BQ9+BQ10+BQ14+BQ15+BQ19</f>
        <v>16889100</v>
      </c>
      <c r="AQ24" s="17">
        <f>BS4+BS5+BS6+BS9+BS10+BS14+BS15+BS19</f>
        <v>31543400</v>
      </c>
      <c r="AR24" s="17">
        <f>SUM(AF24:AQ24)</f>
        <v>703604187</v>
      </c>
    </row>
    <row r="25" spans="3:71">
      <c r="AE25" t="s">
        <v>3243</v>
      </c>
      <c r="AF25" s="17">
        <f>AW7+AW11+AW12+AW16+AW17+AW20</f>
        <v>8308750</v>
      </c>
      <c r="AG25" s="17">
        <f>AY7+AY11+AY12+AY16+AY17+AY20</f>
        <v>74918070</v>
      </c>
      <c r="AH25" s="17">
        <f>BA7+BA11+BA12+BA16+BA17+BA20</f>
        <v>125790000</v>
      </c>
      <c r="AI25" s="17">
        <f>BC7+BC11+BC12+BC16+BC17+BC20</f>
        <v>6950000</v>
      </c>
      <c r="AJ25" s="17">
        <f>BE7+BE11+BE12+BE16+BE17+BE20</f>
        <v>13522000</v>
      </c>
      <c r="AK25" s="17">
        <f>BG7+BG11+BG12+BG16+BG17+BG20</f>
        <v>0</v>
      </c>
      <c r="AL25" s="17">
        <f>BI7+BI11+BI12+BI16+BI17+BI20</f>
        <v>384210277</v>
      </c>
      <c r="AM25" s="17">
        <f>BK7+BK11+BK12+BK16+BK17+BK20</f>
        <v>0</v>
      </c>
      <c r="AN25" s="17">
        <f>BM7+BM11+BM12+BM16+BM17+BM20</f>
        <v>0</v>
      </c>
      <c r="AO25" s="17">
        <f>BO7+BO11+BO12+BO16+BO17+BO20</f>
        <v>41074523</v>
      </c>
      <c r="AP25" s="17">
        <f>BQ7+BQ11+BQ12+BQ16+BQ17+BQ20</f>
        <v>13466450</v>
      </c>
      <c r="AQ25" s="17">
        <f>BS7+BS11+BS12+BS16+BS17+BS20</f>
        <v>1160000</v>
      </c>
      <c r="AR25" s="17">
        <f>SUM(AF25:AQ25)</f>
        <v>669400070</v>
      </c>
      <c r="AS25" s="17">
        <f>AR24-AR25</f>
        <v>34204117</v>
      </c>
    </row>
    <row r="26" spans="3:71">
      <c r="AE26" t="s">
        <v>3244</v>
      </c>
      <c r="AF26">
        <f>AV4+AV5+AV6+AV9+AV10+AV14+AV15+AV19</f>
        <v>24</v>
      </c>
      <c r="AG26">
        <f>AX4+AX5+AX6+AX9+AX10+AX14+AX15+AX19</f>
        <v>17</v>
      </c>
      <c r="AH26">
        <f>AZ4+AZ5+AZ6+AZ9+AZ10+AZ14+AZ15+AZ19</f>
        <v>14</v>
      </c>
      <c r="AI26">
        <f>BB4+BB5+BB6+BB9+BB10+BB14+BB15+BB19</f>
        <v>10</v>
      </c>
      <c r="AJ26">
        <f>BD4+BD5+BD6+BD9+BD10+BD14+BD15+BD19</f>
        <v>22</v>
      </c>
      <c r="AK26">
        <f>BF4+BF5+BF6+BF9+BF10+BF14+BF15+BF19</f>
        <v>15</v>
      </c>
      <c r="AL26">
        <f>BH4+BH5+BH6+BH9+BH10+BH14+BH15+BH19</f>
        <v>32</v>
      </c>
      <c r="AM26">
        <f>BJ4+BJ5+BJ6+BJ9+BJ10+BJ14+BJ15+BJ19</f>
        <v>5</v>
      </c>
      <c r="AN26">
        <f>BL4+BL5+BL6+BL9+BL10+BL14+BL15+BL19</f>
        <v>7</v>
      </c>
      <c r="AO26">
        <f>BN4+BN5+BN6+BN9+BN10+BN14+BN15+BN19</f>
        <v>19</v>
      </c>
      <c r="AP26">
        <f>BP4+BP5+BP6+BP9+BP10+BP14+BP15+BP19</f>
        <v>13</v>
      </c>
      <c r="AQ26">
        <f>BR4+BR5+BR6+BR9+BR10+BR14+BR15+BR19</f>
        <v>20</v>
      </c>
    </row>
    <row r="27" spans="3:71">
      <c r="AE27" t="s">
        <v>3245</v>
      </c>
      <c r="AF27">
        <f>AV7+AV11+AV12+AV16+AV17+AV20</f>
        <v>5</v>
      </c>
      <c r="AG27">
        <f>AX7+AX11+AX12+AX16+AX17+AX20</f>
        <v>8</v>
      </c>
      <c r="AH27">
        <f>AZ7+AZ11+AZ12+AZ16+AZ17+AZ20</f>
        <v>6</v>
      </c>
      <c r="AI27">
        <f>BB7+BB11+BB12+BB16+BB17+BB20</f>
        <v>4</v>
      </c>
      <c r="AJ27">
        <f>BD7+BD11+BD12+BD16+BD17+BD20</f>
        <v>12</v>
      </c>
      <c r="AK27">
        <f>BF7+BF11+BF12+BF16+BF17+BF20</f>
        <v>12</v>
      </c>
      <c r="AL27">
        <f>BH7+BH11+BH12+BH16+BH17+BH20</f>
        <v>12</v>
      </c>
      <c r="AM27">
        <f>BJ7+BJ11+BJ12+BJ16+BJ17+BJ20</f>
        <v>5</v>
      </c>
      <c r="AN27">
        <f>BL7+BL11+BL12+BL16+BL17+BL20</f>
        <v>5</v>
      </c>
      <c r="AO27">
        <f>BN7+BN11+BN12+BN16+BN17+BN20</f>
        <v>7</v>
      </c>
      <c r="AP27">
        <f>BP7+BP11+BP12+BP16+BP17+BP20</f>
        <v>7</v>
      </c>
      <c r="AQ27">
        <f>BR7+BR11+BR12+BR16+BR17+BR20</f>
        <v>4</v>
      </c>
      <c r="AW27" s="35"/>
      <c r="AY27" s="17"/>
      <c r="BA27" s="17"/>
      <c r="BC27" s="17"/>
      <c r="BE27" s="17"/>
      <c r="BG27" s="17"/>
      <c r="BI27" s="17"/>
      <c r="BK27" s="17"/>
      <c r="BM27" s="17"/>
      <c r="BO27" s="17"/>
      <c r="BQ27" s="17"/>
      <c r="BS27" s="17"/>
    </row>
    <row r="28" spans="3:71">
      <c r="AW28" s="35"/>
      <c r="AY28" s="17"/>
      <c r="BA28" s="17"/>
      <c r="BC28" s="17"/>
      <c r="BE28" s="17"/>
      <c r="BG28" s="17"/>
      <c r="BI28" s="17"/>
      <c r="BK28" s="17"/>
      <c r="BM28" s="17"/>
      <c r="BO28" s="17"/>
      <c r="BQ28" s="17"/>
      <c r="BS28" s="17"/>
    </row>
    <row r="29" spans="3:71">
      <c r="AF29" s="13" t="s">
        <v>23</v>
      </c>
      <c r="AG29" s="13" t="s">
        <v>96</v>
      </c>
      <c r="AH29" s="13" t="s">
        <v>144</v>
      </c>
      <c r="AI29" s="13" t="s">
        <v>183</v>
      </c>
      <c r="AJ29" s="13" t="s">
        <v>212</v>
      </c>
      <c r="AK29" s="13" t="s">
        <v>261</v>
      </c>
      <c r="AL29" s="13" t="s">
        <v>274</v>
      </c>
      <c r="AM29" s="13" t="s">
        <v>303</v>
      </c>
      <c r="AN29" s="13" t="s">
        <v>338</v>
      </c>
      <c r="AO29" s="13" t="s">
        <v>358</v>
      </c>
      <c r="AP29" s="13" t="s">
        <v>384</v>
      </c>
      <c r="AQ29" s="13" t="s">
        <v>408</v>
      </c>
      <c r="AW29" s="35"/>
      <c r="AY29" s="17"/>
      <c r="BA29" s="17"/>
      <c r="BC29" s="17"/>
      <c r="BE29" s="17"/>
      <c r="BG29" s="17"/>
      <c r="BI29" s="17"/>
      <c r="BK29" s="17"/>
      <c r="BM29" s="17"/>
      <c r="BO29" s="17"/>
      <c r="BQ29" s="17"/>
      <c r="BS29" s="17"/>
    </row>
    <row r="30" spans="3:71">
      <c r="AE30" t="s">
        <v>3246</v>
      </c>
      <c r="AF30" s="17"/>
      <c r="AG30" s="17"/>
      <c r="AH30" s="17"/>
      <c r="AI30" s="17"/>
      <c r="AJ30" s="17"/>
      <c r="AK30" s="17"/>
      <c r="AL30" s="17">
        <f>AK31+AK24-AK25</f>
        <v>3401034395</v>
      </c>
      <c r="AM30" s="17">
        <f>AL30+AL24-AL25</f>
        <v>3016824118</v>
      </c>
      <c r="AN30" s="17">
        <f>AM30+AM24-AM25</f>
        <v>3016824118</v>
      </c>
      <c r="AO30" s="17">
        <f>AN30+AN24-AN25</f>
        <v>3016824118</v>
      </c>
      <c r="AP30" s="17">
        <f>AO30+AO24-AO25</f>
        <v>3024449595</v>
      </c>
      <c r="AQ30" s="17">
        <f>AP30+AP24-AP25</f>
        <v>3027872245</v>
      </c>
      <c r="AR30" s="17">
        <f>SUM(AL30:AQ30)</f>
        <v>18503828589</v>
      </c>
      <c r="AW30" s="35"/>
      <c r="AY30" s="17"/>
      <c r="BA30" s="17"/>
      <c r="BC30" s="17"/>
      <c r="BE30" s="17"/>
      <c r="BG30" s="17"/>
      <c r="BI30" s="17"/>
      <c r="BK30" s="17"/>
      <c r="BM30" s="17"/>
      <c r="BO30" s="17"/>
      <c r="BQ30" s="17"/>
      <c r="BS30" s="17"/>
    </row>
    <row r="31" spans="3:71">
      <c r="AE31" t="s">
        <v>3247</v>
      </c>
      <c r="AF31" s="17">
        <v>3158763225</v>
      </c>
      <c r="AG31" s="17">
        <v>3348353510</v>
      </c>
      <c r="AH31" s="17">
        <v>3267507386</v>
      </c>
      <c r="AI31" s="17">
        <v>3494786883</v>
      </c>
      <c r="AJ31" s="17">
        <v>5220740536</v>
      </c>
      <c r="AK31" s="17">
        <v>3401034395</v>
      </c>
      <c r="AL31" s="17">
        <v>3325959237</v>
      </c>
      <c r="AM31" s="17">
        <v>3357649748</v>
      </c>
      <c r="AN31" s="17">
        <v>3778396919</v>
      </c>
      <c r="AO31" s="17">
        <v>3467967803</v>
      </c>
      <c r="AP31" s="17">
        <v>2993969434</v>
      </c>
      <c r="AQ31" s="17"/>
      <c r="AR31" s="17">
        <f>SUM(AF31:AQ31)</f>
        <v>38815129076</v>
      </c>
      <c r="AW31" s="35"/>
      <c r="AY31" s="17"/>
      <c r="BA31" s="17"/>
      <c r="BC31" s="17"/>
      <c r="BE31" s="17"/>
      <c r="BG31" s="17"/>
      <c r="BI31" s="17"/>
      <c r="BK31" s="17"/>
      <c r="BM31" s="17"/>
      <c r="BO31" s="17"/>
      <c r="BQ31" s="17"/>
      <c r="BS31" s="17"/>
    </row>
    <row r="32" spans="3:71">
      <c r="AE32" t="s">
        <v>3244</v>
      </c>
      <c r="AF32">
        <f>AF26</f>
        <v>24</v>
      </c>
      <c r="AG32">
        <f>AG26</f>
        <v>17</v>
      </c>
      <c r="AH32">
        <f t="shared" ref="AH32:AQ32" si="1">AH26</f>
        <v>14</v>
      </c>
      <c r="AI32">
        <f t="shared" si="1"/>
        <v>10</v>
      </c>
      <c r="AJ32">
        <f t="shared" si="1"/>
        <v>22</v>
      </c>
      <c r="AK32">
        <f t="shared" si="1"/>
        <v>15</v>
      </c>
      <c r="AL32">
        <f t="shared" si="1"/>
        <v>32</v>
      </c>
      <c r="AM32">
        <f t="shared" si="1"/>
        <v>5</v>
      </c>
      <c r="AN32">
        <f t="shared" si="1"/>
        <v>7</v>
      </c>
      <c r="AO32">
        <f t="shared" si="1"/>
        <v>19</v>
      </c>
      <c r="AP32">
        <f t="shared" si="1"/>
        <v>13</v>
      </c>
      <c r="AQ32">
        <f t="shared" si="1"/>
        <v>20</v>
      </c>
      <c r="AW32" s="35"/>
      <c r="AY32" s="17"/>
      <c r="BA32" s="17"/>
      <c r="BC32" s="17"/>
      <c r="BE32" s="17"/>
      <c r="BG32" s="17"/>
      <c r="BI32" s="17"/>
      <c r="BK32" s="17"/>
      <c r="BM32" s="17"/>
      <c r="BO32" s="17"/>
      <c r="BQ32" s="17"/>
      <c r="BS32" s="17"/>
    </row>
    <row r="33" spans="31:71">
      <c r="AE33" t="s">
        <v>3245</v>
      </c>
      <c r="AF33">
        <f>AF27</f>
        <v>5</v>
      </c>
      <c r="AG33">
        <f>AG27</f>
        <v>8</v>
      </c>
      <c r="AH33">
        <f t="shared" ref="AH33:AQ33" si="2">AH27</f>
        <v>6</v>
      </c>
      <c r="AI33">
        <f t="shared" si="2"/>
        <v>4</v>
      </c>
      <c r="AJ33">
        <f t="shared" si="2"/>
        <v>12</v>
      </c>
      <c r="AK33">
        <f t="shared" si="2"/>
        <v>12</v>
      </c>
      <c r="AL33">
        <f t="shared" si="2"/>
        <v>12</v>
      </c>
      <c r="AM33">
        <f t="shared" si="2"/>
        <v>5</v>
      </c>
      <c r="AN33">
        <f t="shared" si="2"/>
        <v>5</v>
      </c>
      <c r="AO33">
        <f t="shared" si="2"/>
        <v>7</v>
      </c>
      <c r="AP33">
        <f t="shared" si="2"/>
        <v>7</v>
      </c>
      <c r="AQ33">
        <f t="shared" si="2"/>
        <v>4</v>
      </c>
      <c r="AW33" s="35"/>
      <c r="AY33" s="17"/>
      <c r="BA33" s="17"/>
      <c r="BC33" s="17"/>
      <c r="BE33" s="17"/>
      <c r="BG33" s="17"/>
      <c r="BI33" s="17"/>
      <c r="BK33" s="17"/>
      <c r="BM33" s="17"/>
      <c r="BO33" s="17"/>
      <c r="BQ33" s="17"/>
      <c r="BS33" s="17"/>
    </row>
    <row r="34" spans="31:71">
      <c r="AW34" s="35"/>
      <c r="AY34" s="17"/>
      <c r="BA34" s="17"/>
      <c r="BC34" s="17"/>
      <c r="BE34" s="17"/>
      <c r="BG34" s="17"/>
      <c r="BI34" s="17"/>
      <c r="BK34" s="17"/>
      <c r="BM34" s="17"/>
      <c r="BO34" s="17"/>
      <c r="BQ34" s="17"/>
      <c r="BS34" s="17"/>
    </row>
    <row r="35" spans="31:71">
      <c r="AO35" s="58" t="s">
        <v>3248</v>
      </c>
      <c r="AW35" s="35"/>
      <c r="AY35" s="17"/>
      <c r="BA35" s="17"/>
      <c r="BC35" s="17"/>
      <c r="BE35" s="17"/>
      <c r="BG35" s="17"/>
      <c r="BI35" s="17"/>
      <c r="BK35" s="17"/>
      <c r="BM35" s="17"/>
      <c r="BO35" s="17"/>
      <c r="BQ35" s="17"/>
      <c r="BS35" s="17"/>
    </row>
    <row r="36" spans="31:71">
      <c r="AN36" t="s">
        <v>3249</v>
      </c>
      <c r="AO36">
        <f>COUNTIFS('List Order'!C:C,"2024",'List Order'!W:W,"file")</f>
        <v>132</v>
      </c>
      <c r="AW36" s="35"/>
      <c r="AY36" s="17"/>
      <c r="BA36" s="17"/>
      <c r="BC36" s="17"/>
      <c r="BE36" s="17"/>
      <c r="BG36" s="17"/>
      <c r="BI36" s="17"/>
      <c r="BK36" s="17"/>
      <c r="BM36" s="17"/>
      <c r="BO36" s="17"/>
      <c r="BQ36" s="17"/>
      <c r="BS36" s="17"/>
    </row>
    <row r="37" spans="31:71">
      <c r="AN37" t="s">
        <v>3250</v>
      </c>
      <c r="AO37">
        <f>COUNTIFS('List Order'!C:C,"2024",'List Order'!W:W,"")</f>
        <v>201</v>
      </c>
      <c r="AW37" s="35"/>
      <c r="AY37" s="17"/>
      <c r="BA37" s="17"/>
      <c r="BC37" s="17"/>
      <c r="BE37" s="17"/>
      <c r="BG37" s="17"/>
      <c r="BI37" s="17"/>
      <c r="BK37" s="17"/>
      <c r="BM37" s="17"/>
      <c r="BO37" s="17"/>
      <c r="BQ37" s="17"/>
      <c r="BS37" s="17"/>
    </row>
    <row r="38" spans="31:71">
      <c r="AW38" s="35"/>
      <c r="AY38" s="17"/>
      <c r="BA38" s="17"/>
      <c r="BC38" s="17"/>
      <c r="BE38" s="17"/>
      <c r="BG38" s="17"/>
      <c r="BI38" s="17"/>
      <c r="BK38" s="17"/>
      <c r="BM38" s="17"/>
      <c r="BO38" s="17"/>
      <c r="BQ38" s="17"/>
      <c r="BS38" s="17"/>
    </row>
    <row r="39" spans="31:71">
      <c r="AW39" s="35"/>
      <c r="AY39" s="17"/>
      <c r="BA39" s="17"/>
      <c r="BC39" s="17"/>
      <c r="BE39" s="17"/>
      <c r="BG39" s="17"/>
      <c r="BI39" s="17"/>
      <c r="BK39" s="17"/>
      <c r="BM39" s="17"/>
      <c r="BO39" s="17"/>
      <c r="BQ39" s="17"/>
      <c r="BS39" s="17"/>
    </row>
    <row r="40" spans="31:71">
      <c r="AW40" s="35"/>
      <c r="AY40" s="17"/>
      <c r="BA40" s="17"/>
      <c r="BC40" s="17"/>
      <c r="BE40" s="17"/>
      <c r="BG40" s="17"/>
      <c r="BI40" s="17"/>
      <c r="BK40" s="17"/>
      <c r="BM40" s="17"/>
      <c r="BO40" s="17"/>
      <c r="BQ40" s="17"/>
      <c r="BS40" s="17"/>
    </row>
    <row r="41" spans="31:71">
      <c r="AW41" s="35"/>
      <c r="AY41" s="17"/>
      <c r="BA41" s="17"/>
      <c r="BC41" s="17"/>
      <c r="BE41" s="17"/>
      <c r="BG41" s="17"/>
      <c r="BI41" s="17"/>
      <c r="BK41" s="17"/>
      <c r="BM41" s="17"/>
      <c r="BO41" s="17"/>
      <c r="BQ41" s="17"/>
      <c r="BS41" s="17"/>
    </row>
    <row r="42" spans="31:71">
      <c r="AW42" s="35"/>
      <c r="AY42" s="17"/>
      <c r="BA42" s="17"/>
      <c r="BC42" s="17"/>
      <c r="BE42" s="17"/>
      <c r="BG42" s="17"/>
      <c r="BI42" s="17"/>
      <c r="BK42" s="17"/>
      <c r="BM42" s="17"/>
      <c r="BO42" s="17"/>
      <c r="BQ42" s="17"/>
      <c r="BS42" s="17"/>
    </row>
    <row r="43" spans="31:71">
      <c r="AW43" s="35"/>
      <c r="AY43" s="17"/>
      <c r="BA43" s="17"/>
      <c r="BC43" s="17"/>
      <c r="BE43" s="17"/>
      <c r="BG43" s="17"/>
      <c r="BI43" s="17"/>
      <c r="BK43" s="17"/>
      <c r="BM43" s="17"/>
      <c r="BO43" s="17"/>
      <c r="BQ43" s="17"/>
      <c r="BS43" s="17"/>
    </row>
    <row r="44" spans="31:71">
      <c r="AW44" s="35"/>
      <c r="AY44" s="17"/>
      <c r="BA44" s="17"/>
      <c r="BC44" s="17"/>
      <c r="BE44" s="17"/>
      <c r="BG44" s="17"/>
      <c r="BI44" s="17"/>
      <c r="BK44" s="17"/>
      <c r="BM44" s="17"/>
      <c r="BO44" s="17"/>
      <c r="BQ44" s="17"/>
      <c r="BS44" s="17"/>
    </row>
    <row r="45" spans="31:71">
      <c r="AW45" s="35"/>
      <c r="AY45" s="17"/>
      <c r="BA45" s="17"/>
      <c r="BC45" s="17"/>
      <c r="BE45" s="17"/>
      <c r="BG45" s="17"/>
      <c r="BI45" s="17"/>
      <c r="BK45" s="17"/>
      <c r="BM45" s="17"/>
      <c r="BO45" s="17"/>
      <c r="BQ45" s="17"/>
      <c r="BS45" s="17"/>
    </row>
    <row r="46" spans="31:71">
      <c r="AW46" s="35"/>
      <c r="AY46" s="17"/>
      <c r="BA46" s="17"/>
      <c r="BC46" s="17"/>
      <c r="BE46" s="17"/>
      <c r="BG46" s="17"/>
      <c r="BI46" s="17"/>
      <c r="BK46" s="17"/>
      <c r="BM46" s="17"/>
      <c r="BO46" s="17"/>
      <c r="BQ46" s="17"/>
      <c r="BS46" s="17"/>
    </row>
    <row r="47" spans="31:71">
      <c r="AW47" s="35"/>
      <c r="AY47" s="17"/>
      <c r="BA47" s="17"/>
      <c r="BC47" s="17"/>
      <c r="BE47" s="17"/>
      <c r="BG47" s="17"/>
      <c r="BI47" s="17"/>
      <c r="BK47" s="17"/>
      <c r="BM47" s="17"/>
      <c r="BO47" s="17"/>
      <c r="BQ47" s="17"/>
      <c r="BS47" s="17"/>
    </row>
  </sheetData>
  <mergeCells count="21">
    <mergeCell ref="B2:C3"/>
    <mergeCell ref="D2:E3"/>
    <mergeCell ref="B4:C5"/>
    <mergeCell ref="D4:E5"/>
    <mergeCell ref="BR1:BS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C15:D16"/>
    <mergeCell ref="E15:F16"/>
    <mergeCell ref="G15:H16"/>
    <mergeCell ref="E19:F19"/>
    <mergeCell ref="C20:H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2552-6194-46E6-980A-FC07664AAAA7}">
  <dimension ref="B1:BS61"/>
  <sheetViews>
    <sheetView showGridLines="0" topLeftCell="P1" workbookViewId="0">
      <selection activeCell="AB12" sqref="AB12"/>
    </sheetView>
  </sheetViews>
  <sheetFormatPr defaultRowHeight="15"/>
  <cols>
    <col min="1" max="1" width="5.140625" customWidth="1"/>
    <col min="4" max="4" width="27.7109375" bestFit="1" customWidth="1"/>
    <col min="6" max="6" width="9.140625" bestFit="1" customWidth="1"/>
    <col min="31" max="31" width="17.42578125" bestFit="1" customWidth="1"/>
    <col min="32" max="32" width="19.85546875" bestFit="1" customWidth="1"/>
    <col min="33" max="33" width="19.140625" customWidth="1"/>
    <col min="34" max="42" width="17.7109375" bestFit="1" customWidth="1"/>
    <col min="43" max="43" width="17.7109375" customWidth="1"/>
    <col min="44" max="44" width="15.85546875" bestFit="1" customWidth="1"/>
    <col min="45" max="45" width="18.7109375" bestFit="1" customWidth="1"/>
    <col min="47" max="47" width="15" bestFit="1" customWidth="1"/>
    <col min="48" max="48" width="8.5703125" bestFit="1" customWidth="1"/>
    <col min="49" max="49" width="15.5703125" bestFit="1" customWidth="1"/>
    <col min="51" max="51" width="15.5703125" bestFit="1" customWidth="1"/>
    <col min="53" max="53" width="16" bestFit="1" customWidth="1"/>
    <col min="55" max="55" width="16" bestFit="1" customWidth="1"/>
    <col min="57" max="57" width="15.5703125" bestFit="1" customWidth="1"/>
    <col min="59" max="59" width="15.5703125" bestFit="1" customWidth="1"/>
    <col min="61" max="61" width="16" bestFit="1" customWidth="1"/>
    <col min="63" max="63" width="15.5703125" bestFit="1" customWidth="1"/>
    <col min="65" max="65" width="15.5703125" bestFit="1" customWidth="1"/>
    <col min="67" max="67" width="15.5703125" bestFit="1" customWidth="1"/>
    <col min="69" max="69" width="15.5703125" bestFit="1" customWidth="1"/>
    <col min="71" max="71" width="15.5703125" bestFit="1" customWidth="1"/>
  </cols>
  <sheetData>
    <row r="1" spans="2:71" ht="15" customHeight="1">
      <c r="G1" s="28"/>
      <c r="H1" s="28"/>
      <c r="I1" s="28"/>
      <c r="AE1" s="13"/>
      <c r="AF1" s="13" t="s">
        <v>23</v>
      </c>
      <c r="AG1" s="13" t="s">
        <v>96</v>
      </c>
      <c r="AH1" s="13" t="s">
        <v>144</v>
      </c>
      <c r="AI1" s="13" t="s">
        <v>183</v>
      </c>
      <c r="AJ1" s="13" t="s">
        <v>212</v>
      </c>
      <c r="AK1" s="13" t="s">
        <v>261</v>
      </c>
      <c r="AL1" s="13" t="s">
        <v>274</v>
      </c>
      <c r="AM1" s="13" t="s">
        <v>303</v>
      </c>
      <c r="AN1" s="13" t="s">
        <v>338</v>
      </c>
      <c r="AO1" s="13" t="s">
        <v>358</v>
      </c>
      <c r="AP1" s="13" t="s">
        <v>384</v>
      </c>
      <c r="AQ1" s="13" t="s">
        <v>408</v>
      </c>
      <c r="AU1" s="6">
        <v>2025</v>
      </c>
      <c r="AV1" s="187" t="s">
        <v>3210</v>
      </c>
      <c r="AW1" s="187"/>
      <c r="AX1" s="187" t="s">
        <v>3211</v>
      </c>
      <c r="AY1" s="187"/>
      <c r="AZ1" s="187" t="s">
        <v>3212</v>
      </c>
      <c r="BA1" s="187"/>
      <c r="BB1" s="187" t="s">
        <v>3213</v>
      </c>
      <c r="BC1" s="187"/>
      <c r="BD1" s="187" t="s">
        <v>3214</v>
      </c>
      <c r="BE1" s="187"/>
      <c r="BF1" s="187" t="s">
        <v>3215</v>
      </c>
      <c r="BG1" s="187"/>
      <c r="BH1" s="187" t="s">
        <v>3216</v>
      </c>
      <c r="BI1" s="187"/>
      <c r="BJ1" s="187" t="s">
        <v>3217</v>
      </c>
      <c r="BK1" s="187"/>
      <c r="BL1" s="187" t="s">
        <v>3218</v>
      </c>
      <c r="BM1" s="187"/>
      <c r="BN1" s="187" t="s">
        <v>3219</v>
      </c>
      <c r="BO1" s="187"/>
      <c r="BP1" s="187" t="s">
        <v>3220</v>
      </c>
      <c r="BQ1" s="187"/>
      <c r="BR1" s="187" t="s">
        <v>408</v>
      </c>
      <c r="BS1" s="187"/>
    </row>
    <row r="2" spans="2:71" ht="15" customHeight="1">
      <c r="B2" s="183" t="s">
        <v>3221</v>
      </c>
      <c r="C2" s="183"/>
      <c r="D2" s="184">
        <f>COUNTIFS('List Project'!C:C,"2025",'List Project'!P:P,"Done")+COUNTIFS('List Project'!C:C,"2025",'List Project'!P:P,"OGP")</f>
        <v>119</v>
      </c>
      <c r="E2" s="184"/>
      <c r="F2" s="39"/>
      <c r="G2" s="39"/>
      <c r="H2" s="39"/>
      <c r="I2" s="39"/>
      <c r="AE2" t="s">
        <v>3222</v>
      </c>
      <c r="AF2" s="18">
        <f>SUMIFS('List Project'!I:I,'List Project'!D:D,"Januari",'List Project'!C:C,"2025")</f>
        <v>55157828477</v>
      </c>
      <c r="AG2" s="18">
        <f>SUMIFS('List Project'!I:I,'List Project'!D:D,"Februari",'List Project'!C:C,"2025")</f>
        <v>13464557806</v>
      </c>
      <c r="AH2" s="18">
        <f>SUMIFS('List Project'!I:I,'List Project'!D:D,"Maret",'List Project'!C:C,"2025")</f>
        <v>12525655865</v>
      </c>
      <c r="AI2" s="18">
        <f>SUMIFS('List Project'!I:I,'List Project'!D:D,"April",'List Project'!C:C,"2025")</f>
        <v>4546519554</v>
      </c>
      <c r="AJ2" s="18">
        <f>SUMIFS('List Project'!I:I,'List Project'!D:D,"Mei",'List Project'!C:C,"2025")</f>
        <v>1492660000</v>
      </c>
      <c r="AK2" s="18">
        <f>SUMIFS('List Project'!I:I,'List Project'!D:D,"Juni",'List Project'!C:C,"2025")</f>
        <v>22674005152</v>
      </c>
      <c r="AL2" s="18">
        <f>SUMIFS('List Project'!I:I,'List Project'!D:D,"Juli",'List Project'!C:C,"2025")</f>
        <v>19665001612</v>
      </c>
      <c r="AM2" s="18">
        <f>SUMIFS('List Project'!I:I,'List Project'!D:D,"Agustus",'List Project'!C:C,"2025")</f>
        <v>22572928806</v>
      </c>
      <c r="AN2" s="18">
        <f>SUMIFS('List Project'!I:I,'List Project'!D:D,"September",'List Project'!C:C,"2025")</f>
        <v>126422284045.10001</v>
      </c>
      <c r="AO2" s="18">
        <f>SUMIFS('List Project'!I:I,'List Project'!D:D,"Oktober",'List Project'!C:C,"2025")</f>
        <v>269112773390.20001</v>
      </c>
      <c r="AP2" s="18">
        <f>SUMIFS('List Project'!I:I,'List Project'!D:D,"November",'List Project'!C:C,"2025")</f>
        <v>39966893707</v>
      </c>
      <c r="AQ2" s="18">
        <f>SUMIFS('List Project'!I:I,'List Project'!D:D,"Desember",'List Project'!C:C,"2025")</f>
        <v>972717736854</v>
      </c>
      <c r="AR2" s="17">
        <f>SUM(AF2:AQ2)</f>
        <v>1560318845268.3</v>
      </c>
      <c r="AU2" s="7" t="s">
        <v>3223</v>
      </c>
      <c r="AV2" s="7" t="s">
        <v>3224</v>
      </c>
      <c r="AW2" s="7" t="s">
        <v>3225</v>
      </c>
      <c r="AX2" s="7" t="s">
        <v>3224</v>
      </c>
      <c r="AY2" s="7" t="s">
        <v>3225</v>
      </c>
      <c r="AZ2" s="7" t="s">
        <v>3224</v>
      </c>
      <c r="BA2" s="7" t="s">
        <v>3225</v>
      </c>
      <c r="BB2" s="7" t="s">
        <v>3224</v>
      </c>
      <c r="BC2" s="7" t="s">
        <v>3225</v>
      </c>
      <c r="BD2" s="7" t="s">
        <v>3224</v>
      </c>
      <c r="BE2" s="7" t="s">
        <v>3225</v>
      </c>
      <c r="BF2" s="7" t="s">
        <v>3224</v>
      </c>
      <c r="BG2" s="7" t="s">
        <v>3225</v>
      </c>
      <c r="BH2" s="7" t="s">
        <v>3224</v>
      </c>
      <c r="BI2" s="7" t="s">
        <v>3225</v>
      </c>
      <c r="BJ2" s="7" t="s">
        <v>3224</v>
      </c>
      <c r="BK2" s="7" t="s">
        <v>3225</v>
      </c>
      <c r="BL2" s="7" t="s">
        <v>3224</v>
      </c>
      <c r="BM2" s="7" t="s">
        <v>3225</v>
      </c>
      <c r="BN2" s="7" t="s">
        <v>3224</v>
      </c>
      <c r="BO2" s="7" t="s">
        <v>3225</v>
      </c>
      <c r="BP2" s="7" t="s">
        <v>3224</v>
      </c>
      <c r="BQ2" s="7" t="s">
        <v>3225</v>
      </c>
      <c r="BR2" s="7" t="s">
        <v>3224</v>
      </c>
      <c r="BS2" s="7" t="s">
        <v>3225</v>
      </c>
    </row>
    <row r="3" spans="2:71" ht="15" customHeight="1">
      <c r="B3" s="183"/>
      <c r="C3" s="183"/>
      <c r="D3" s="184"/>
      <c r="E3" s="184"/>
      <c r="F3" s="39"/>
      <c r="G3" s="39"/>
      <c r="H3" s="39"/>
      <c r="I3" s="39"/>
      <c r="AE3" t="s">
        <v>45</v>
      </c>
      <c r="AF3" s="18">
        <f>COUNTIFS('List Project'!D:D,"Januari",'List Project'!O:O,"Adi",'List Project'!C:C,"2025")</f>
        <v>1</v>
      </c>
      <c r="AG3" s="18">
        <f>COUNTIFS('List Project'!D:D,"Februari",'List Project'!O:O,"Adi",'List Project'!C:C,"2025")</f>
        <v>0</v>
      </c>
      <c r="AH3" s="18">
        <f>COUNTIFS('List Project'!D:D,"Maret",'List Project'!O:O,"Adi",'List Project'!C:C,"2025")</f>
        <v>0</v>
      </c>
      <c r="AI3" s="18">
        <f>COUNTIFS('List Project'!D:D,"April",'List Project'!O:O,"Adi",'List Project'!C:C,"2025")</f>
        <v>0</v>
      </c>
      <c r="AJ3" s="18">
        <f>COUNTIFS('List Project'!D:D,"Mei",'List Project'!O:O,"Adi",'List Project'!C:C,"2025")</f>
        <v>0</v>
      </c>
      <c r="AK3" s="18">
        <f>COUNTIFS('List Project'!D:D,"Juni",'List Project'!O:O,"Adi",'List Project'!C:C,"2025")</f>
        <v>0</v>
      </c>
      <c r="AL3" s="18">
        <f>COUNTIFS('List Project'!D:D,"Juli",'List Project'!O:O,"Adi",'List Project'!C:C,"2025")</f>
        <v>0</v>
      </c>
      <c r="AM3" s="18">
        <f>COUNTIFS('List Project'!D:D,"Agustus",'List Project'!O:O,"Adi",'List Project'!C:C,"2025")</f>
        <v>0</v>
      </c>
      <c r="AN3" s="18">
        <f>COUNTIFS('List Project'!D:D,"September",'List Project'!O:O,"Adi",'List Project'!C:C,"2025")</f>
        <v>1</v>
      </c>
      <c r="AO3" s="18">
        <f>COUNTIFS('List Project'!D:D,"Oktober",'List Project'!O:O,"Adi",'List Project'!C:C,"2025")</f>
        <v>2</v>
      </c>
      <c r="AP3" s="18">
        <f>COUNTIFS('List Project'!D:D,"November",'List Project'!O:O,"Adi",'List Project'!C:C,"2025")</f>
        <v>0</v>
      </c>
      <c r="AQ3" s="18">
        <f>COUNTIFS('List Project'!D:D,"Desember",'List Project'!O:O,"Adi",'List Project'!C:C,"2025")</f>
        <v>0</v>
      </c>
      <c r="AR3" s="17">
        <f>SUM(AF3:AQ3)</f>
        <v>4</v>
      </c>
      <c r="AS3" s="17">
        <f ca="1">SUMIFS('List Project'!W:W,'List Project'!AC:AC,"Adi",'List Project'!M:M,"2025")</f>
        <v>0</v>
      </c>
      <c r="AU3" s="8" t="s">
        <v>3226</v>
      </c>
      <c r="AV3" s="9">
        <f>COUNTIFS('List Order'!B:B,"Januari",'List Order'!I:I,"Nomor Akses",'List Order'!C:C,"2025")</f>
        <v>15</v>
      </c>
      <c r="AW3" s="14">
        <f>SUM(AW4:AW6)</f>
        <v>16740000</v>
      </c>
      <c r="AX3" s="9">
        <f>COUNTIFS('List Order'!B:B,"Februari",'List Order'!I:I,"Nomor Akses",'List Order'!C:C,"2025")</f>
        <v>11</v>
      </c>
      <c r="AY3" s="14">
        <f>SUM(AY4:AY6)</f>
        <v>4240000</v>
      </c>
      <c r="AZ3" s="9">
        <f>COUNTIFS('List Order'!B:B,"Maret",'List Order'!I:I,"Nomor Akses",'List Order'!C:C,"2025")</f>
        <v>7</v>
      </c>
      <c r="BA3" s="14">
        <f>SUM(BA4:BA6)</f>
        <v>8080000</v>
      </c>
      <c r="BB3" s="9">
        <f>COUNTIFS('List Order'!B:B,"April",'List Order'!I:I,"Nomor Akses",'List Order'!C:C,"2025")</f>
        <v>12</v>
      </c>
      <c r="BC3" s="14">
        <f>SUM(BC4:BC6)</f>
        <v>12320000</v>
      </c>
      <c r="BD3" s="9">
        <f>COUNTIFS('List Order'!B:B,"Mei",'List Order'!I:I,"Nomor Akses",'List Order'!C:C,"2025")</f>
        <v>5</v>
      </c>
      <c r="BE3" s="14">
        <f>SUM(BE4:BE6)</f>
        <v>0</v>
      </c>
      <c r="BF3" s="9">
        <f>COUNTIFS('List Order'!B:B,"Juni",'List Order'!I:I,"Nomor Akses",'List Order'!C:C,"2025")</f>
        <v>8</v>
      </c>
      <c r="BG3" s="14">
        <f>SUM(BG4:BG6)</f>
        <v>10000000</v>
      </c>
      <c r="BH3" s="9">
        <f>COUNTIFS('List Order'!B:B,"Juli",'List Order'!I:I,"Nomor Akses",'List Order'!C:C,"2025")</f>
        <v>20</v>
      </c>
      <c r="BI3" s="14">
        <f>SUM(BI4:BI6)</f>
        <v>20150000</v>
      </c>
      <c r="BJ3" s="9">
        <f>COUNTIFS('List Order'!B:B,"Agustus",'List Order'!I:I,"Nomor Akses",'List Order'!C:C,"2025")</f>
        <v>10</v>
      </c>
      <c r="BK3" s="14">
        <f>SUM(BK4:BK6)</f>
        <v>2900000</v>
      </c>
      <c r="BL3" s="9">
        <f>COUNTIFS('List Order'!B:B,"September",'List Order'!I:I,"Nomor Akses",'List Order'!C:C,"2025")</f>
        <v>7</v>
      </c>
      <c r="BM3" s="14">
        <f>SUM(BM4:BM6)</f>
        <v>8080000</v>
      </c>
      <c r="BN3" s="9">
        <f>COUNTIFS('List Order'!B:B,"Oktober",'List Order'!I:I,"Nomor Akses",'List Order'!C:C,"2025")</f>
        <v>13</v>
      </c>
      <c r="BO3" s="14">
        <f>SUM(BO4:BO6)</f>
        <v>2320000</v>
      </c>
      <c r="BP3" s="9">
        <f>COUNTIFS('List Order'!B:B,"November",'List Order'!I:I,"Nomor Akses",'List Order'!C:C,"2025")</f>
        <v>3</v>
      </c>
      <c r="BQ3" s="14">
        <f>SUM(BQ4:BQ6)</f>
        <v>0</v>
      </c>
      <c r="BR3" s="9">
        <f>COUNTIFS('List Order'!B:B,"Desember",'List Order'!I:I,"Nomor Akses",'List Order'!C:C,"2025")</f>
        <v>15</v>
      </c>
      <c r="BS3" s="14">
        <f>SUM(BS4:BS6)</f>
        <v>0</v>
      </c>
    </row>
    <row r="4" spans="2:71" ht="15" customHeight="1">
      <c r="B4" s="185" t="s">
        <v>3227</v>
      </c>
      <c r="C4" s="185"/>
      <c r="D4" s="186">
        <f>SUMIF('List Project'!C:C,"2025",'List Project'!I:I)</f>
        <v>1560318845268.3</v>
      </c>
      <c r="E4" s="186"/>
      <c r="F4" s="39"/>
      <c r="G4" s="39"/>
      <c r="H4" s="39"/>
      <c r="I4" s="39"/>
      <c r="AE4" t="s">
        <v>51</v>
      </c>
      <c r="AF4" s="18">
        <f>COUNTIFS('List Project'!D:D,"Januari",'List Project'!O:O,"Dwi",'List Project'!C:C,"2025")</f>
        <v>4</v>
      </c>
      <c r="AG4" s="18">
        <f>COUNTIFS('List Project'!D:D,"Februari",'List Project'!O:O,"Dwi",'List Project'!C:C,"2025")</f>
        <v>3</v>
      </c>
      <c r="AH4" s="18">
        <f>COUNTIFS('List Project'!D:D,"Maret",'List Project'!O:O,"Dwi",'List Project'!C:C,"2025")</f>
        <v>3</v>
      </c>
      <c r="AI4" s="18">
        <f>COUNTIFS('List Project'!D:D,"April",'List Project'!O:O,"Dwi",'List Project'!C:C,"2025")</f>
        <v>5</v>
      </c>
      <c r="AJ4" s="18">
        <f>COUNTIFS('List Project'!D:D,"Mei",'List Project'!O:O,"Dwi",'List Project'!C:C,"2025")</f>
        <v>0</v>
      </c>
      <c r="AK4" s="18">
        <f>COUNTIFS('List Project'!D:D,"Juni",'List Project'!O:O,"Dwi",'List Project'!C:C,"2025")</f>
        <v>3</v>
      </c>
      <c r="AL4" s="18">
        <f>COUNTIFS('List Project'!D:D,"Juli",'List Project'!O:O,"Dwi",'List Project'!C:C,"2025")</f>
        <v>3</v>
      </c>
      <c r="AM4" s="18">
        <f>COUNTIFS('List Project'!D:D,"Agustus",'List Project'!O:O,"Dwi",'List Project'!C:C,"2025")</f>
        <v>0</v>
      </c>
      <c r="AN4" s="18">
        <f>COUNTIFS('List Project'!D:D,"September",'List Project'!O:O,"Dwi",'List Project'!C:C,"2025")</f>
        <v>1</v>
      </c>
      <c r="AO4" s="18">
        <f>COUNTIFS('List Project'!D:D,"Oktober",'List Project'!O:O,"Dwi",'List Project'!C:C,"2025")</f>
        <v>2</v>
      </c>
      <c r="AP4" s="18">
        <f>COUNTIFS('List Project'!D:D,"November",'List Project'!O:O,"Dwi",'List Project'!C:C,"2025")</f>
        <v>7</v>
      </c>
      <c r="AQ4" s="18">
        <f>COUNTIFS('List Project'!D:D,"Desember",'List Project'!O:O,"Dwi",'List Project'!C:C,"2025")</f>
        <v>2</v>
      </c>
      <c r="AR4" s="17">
        <f>SUM(AF4:AQ4)</f>
        <v>33</v>
      </c>
      <c r="AS4" s="17">
        <f ca="1">SUMIFS('List Project'!W:W,'List Project'!AC:AC,"Dwi",'List Project'!M:M,"2025")</f>
        <v>0</v>
      </c>
      <c r="AU4" s="1" t="s">
        <v>967</v>
      </c>
      <c r="AV4" s="3">
        <f>COUNTIFS('List Order'!C:C,"2025",'List Order'!B:B,"Januari",'List Order'!H:H,"Aktivasi",'List Order'!I:I,"Nomor Akses")</f>
        <v>9</v>
      </c>
      <c r="AW4" s="15">
        <f>SUMIFS('List Order'!T:T,'List Order'!C:C,"2025",'List Order'!B:B,"Januari",'List Order'!H:H,"Aktivasi",'List Order'!I:I,"Nomor Akses")</f>
        <v>16740000</v>
      </c>
      <c r="AX4" s="3">
        <f>COUNTIFS('List Order'!C:C,"2025",'List Order'!B:B,"Februari",'List Order'!H:H,"Aktivasi",'List Order'!I:I,"Nomor Akses")</f>
        <v>4</v>
      </c>
      <c r="AY4" s="15">
        <f>SUMIFS('List Order'!T:T,'List Order'!C:C,"2025",'List Order'!B:B,"Februari",'List Order'!H:H,"Aktivasi",'List Order'!I:I,"Nomor Akses")</f>
        <v>4240000</v>
      </c>
      <c r="AZ4" s="3">
        <f>COUNTIFS('List Order'!C:C,"2025",'List Order'!B:B,"Maret",'List Order'!H:H,"Aktivasi",'List Order'!I:I,"Nomor Akses")</f>
        <v>4</v>
      </c>
      <c r="BA4" s="15">
        <f>SUMIFS('List Order'!T:T,'List Order'!C:C,"2025",'List Order'!B:B,"Maret",'List Order'!H:H,"Aktivasi",'List Order'!I:I,"Nomor Akses")</f>
        <v>8080000</v>
      </c>
      <c r="BB4" s="3">
        <f>COUNTIFS('List Order'!C:C,"2025",'List Order'!B:B,"April",'List Order'!H:H,"Aktivasi",'List Order'!I:I,"Nomor Akses")</f>
        <v>9</v>
      </c>
      <c r="BC4" s="15">
        <f>SUMIFS('List Order'!T:T,'List Order'!C:C,"2025",'List Order'!B:B,"April",'List Order'!H:H,"Aktivasi",'List Order'!I:I,"Nomor Akses")</f>
        <v>12320000</v>
      </c>
      <c r="BD4" s="3">
        <f>COUNTIFS('List Order'!C:C,"2025",'List Order'!B:B,"Mei",'List Order'!H:H,"Aktivasi",'List Order'!I:I,"Nomor Akses")</f>
        <v>0</v>
      </c>
      <c r="BE4" s="15">
        <f>SUMIFS('List Order'!T:T,'List Order'!C:C,"2025",'List Order'!B:B,"Mei",'List Order'!H:H,"Aktivasi",'List Order'!I:I,"Nomor Akses")</f>
        <v>0</v>
      </c>
      <c r="BF4" s="3">
        <f>COUNTIFS('List Order'!C:C,"2025",'List Order'!B:B,"Juni",'List Order'!H:H,"Aktivasi",'List Order'!I:I,"Nomor Akses")</f>
        <v>3</v>
      </c>
      <c r="BG4" s="15">
        <f>SUMIFS('List Order'!T:T,'List Order'!C:C,"2025",'List Order'!B:B,"Juni",'List Order'!H:H,"Aktivasi",'List Order'!I:I,"Nomor Akses")</f>
        <v>6000000</v>
      </c>
      <c r="BH4" s="3">
        <f>COUNTIFS('List Order'!C:C,"2025",'List Order'!B:B,"Juli",'List Order'!H:H,"Aktivasi",'List Order'!I:I,"Nomor Akses")</f>
        <v>13</v>
      </c>
      <c r="BI4" s="15">
        <f>SUMIFS('List Order'!T:T,'List Order'!C:C,"2025",'List Order'!B:B,"Juli",'List Order'!H:H,"Aktivasi",'List Order'!I:I,"Nomor Akses")</f>
        <v>6850000</v>
      </c>
      <c r="BJ4" s="3">
        <f>COUNTIFS('List Order'!C:C,"2025",'List Order'!B:B,"Agustus",'List Order'!H:H,"Aktivasi",'List Order'!I:I,"Nomor Akses")</f>
        <v>6</v>
      </c>
      <c r="BK4" s="15">
        <f>SUMIFS('List Order'!T:T,'List Order'!C:C,"2025",'List Order'!B:B,"Agustus",'List Order'!H:H,"Aktivasi",'List Order'!I:I,"Nomor Akses")</f>
        <v>2900000</v>
      </c>
      <c r="BL4" s="3">
        <f>COUNTIFS('List Order'!C:C,"2025",'List Order'!B:B,"September",'List Order'!H:H,"Aktivasi",'List Order'!I:I,"Nomor Akses")</f>
        <v>4</v>
      </c>
      <c r="BM4" s="15">
        <f>SUMIFS('List Order'!T:T,'List Order'!C:C,"2025",'List Order'!B:B,"September",'List Order'!H:H,"Aktivasi",'List Order'!I:I,"Nomor Akses")</f>
        <v>8080000</v>
      </c>
      <c r="BN4" s="3">
        <f>COUNTIFS('List Order'!C:C,"2025",'List Order'!B:B,"Oktober",'List Order'!H:H,"Aktivasi",'List Order'!I:I,"Nomor Akses")</f>
        <v>7</v>
      </c>
      <c r="BO4" s="15">
        <f>SUMIFS('List Order'!T:T,'List Order'!C:C,"2025",'List Order'!B:B,"Oktober",'List Order'!H:H,"Aktivasi",'List Order'!I:I,"Nomor Akses")</f>
        <v>1740000</v>
      </c>
      <c r="BP4" s="3">
        <f>COUNTIFS('List Order'!C:C,"2025",'List Order'!B:B,"November",'List Order'!H:H,"Aktivasi",'List Order'!I:I,"Nomor Akses")</f>
        <v>2</v>
      </c>
      <c r="BQ4" s="15">
        <f>SUMIFS('List Order'!T:T,'List Order'!C:C,"2025",'List Order'!B:B,"November",'List Order'!H:H,"Aktivasi",'List Order'!I:I,"Nomor Akses")</f>
        <v>0</v>
      </c>
      <c r="BR4" s="3">
        <f>COUNTIFS('List Order'!C:C,"2025",'List Order'!B:B,"Desember",'List Order'!H:H,"Aktivasi",'List Order'!I:I,"Nomor Akses")</f>
        <v>5</v>
      </c>
      <c r="BS4" s="15">
        <f>SUMIFS('List Order'!T:T,'List Order'!C:C,"2025",'List Order'!B:B,"Desember",'List Order'!H:H,"Aktivasi")</f>
        <v>0</v>
      </c>
    </row>
    <row r="5" spans="2:71" ht="15" customHeight="1">
      <c r="B5" s="185"/>
      <c r="C5" s="185"/>
      <c r="D5" s="186"/>
      <c r="E5" s="186"/>
      <c r="F5" s="38"/>
      <c r="G5" s="38"/>
      <c r="H5" s="38"/>
      <c r="I5" s="38"/>
      <c r="AE5" t="s">
        <v>31</v>
      </c>
      <c r="AF5" s="18">
        <f>COUNTIFS('List Project'!D:D,"Januari",'List Project'!O:O,"Duta",'List Project'!C:C,"2025")</f>
        <v>9</v>
      </c>
      <c r="AG5" s="18">
        <f>COUNTIFS('List Project'!D:D,"Februari",'List Project'!O:O,"Duta",'List Project'!C:C,"2025")</f>
        <v>5</v>
      </c>
      <c r="AH5" s="18">
        <f>COUNTIFS('List Project'!D:D,"Maret",'List Project'!O:O,"Duta",'List Project'!C:C,"2025")</f>
        <v>3</v>
      </c>
      <c r="AI5" s="18">
        <f>COUNTIFS('List Project'!D:D,"April",'List Project'!O:O,"Duta",'List Project'!C:C,"2025")</f>
        <v>3</v>
      </c>
      <c r="AJ5" s="18">
        <f>COUNTIFS('List Project'!D:D,"Mei",'List Project'!O:O,"Duta",'List Project'!C:C,"2025")</f>
        <v>5</v>
      </c>
      <c r="AK5" s="18">
        <f>COUNTIFS('List Project'!D:D,"Juni",'List Project'!O:O,"Duta",'List Project'!C:C,"2025")</f>
        <v>4</v>
      </c>
      <c r="AL5" s="18">
        <f>COUNTIFS('List Project'!D:D,"Juli",'List Project'!O:O,"Duta",'List Project'!C:C,"2025")</f>
        <v>3</v>
      </c>
      <c r="AM5" s="18">
        <f>COUNTIFS('List Project'!D:D,"Agustus",'List Project'!O:O,"Duta",'List Project'!C:C,"2025")</f>
        <v>7</v>
      </c>
      <c r="AN5" s="18">
        <f>COUNTIFS('List Project'!D:D,"September",'List Project'!O:O,"Duta",'List Project'!C:C,"2025")</f>
        <v>2</v>
      </c>
      <c r="AO5" s="18">
        <f>COUNTIFS('List Project'!D:D,"Oktober",'List Project'!O:O,"Duta",'List Project'!C:C,"2025")</f>
        <v>4</v>
      </c>
      <c r="AP5" s="18">
        <f>COUNTIFS('List Project'!D:D,"November",'List Project'!O:O,"Duta",'List Project'!C:C,"2025")</f>
        <v>6</v>
      </c>
      <c r="AQ5" s="18">
        <f>COUNTIFS('List Project'!D:D,"Desember",'List Project'!O:O,"Duta",'List Project'!C:C,"2025")</f>
        <v>2</v>
      </c>
      <c r="AR5" s="17">
        <f>SUM(AF5:AQ5)</f>
        <v>53</v>
      </c>
      <c r="AS5" s="17">
        <f ca="1">SUMIFS('List Project'!W:W,'List Project'!AC:AC,"Duta",'List Project'!M:M,"2025")</f>
        <v>0</v>
      </c>
      <c r="AU5" s="1" t="s">
        <v>985</v>
      </c>
      <c r="AV5" s="3">
        <f>COUNTIFS('List Order'!C:C,"2025",'List Order'!B:B,"Januari",'List Order'!H:H,"Novasi",'List Order'!I:I,"Nomor Akses")</f>
        <v>1</v>
      </c>
      <c r="AW5" s="15">
        <f>SUMIFS('List Order'!T:T,'List Order'!C:C,"2025",'List Order'!B:B,"Januari",'List Order'!H:H,"Novasi",'List Order'!I:I,"Nomor Akses")</f>
        <v>0</v>
      </c>
      <c r="AX5" s="3">
        <f>COUNTIFS('List Order'!C:C,"2025",'List Order'!B:B,"Februari",'List Order'!H:H,"Novasi",'List Order'!I:I,"Nomor Akses")</f>
        <v>0</v>
      </c>
      <c r="AY5" s="15">
        <f>SUMIFS('List Order'!T:T,'List Order'!C:C,"2025",'List Order'!B:B,"Februari",'List Order'!H:H,"Novasi",'List Order'!I:I,"Nomor Akses")</f>
        <v>0</v>
      </c>
      <c r="AZ5" s="3">
        <f>COUNTIFS('List Order'!C:C,"2025",'List Order'!B:B,"Maret",'List Order'!H:H,"Novasi",'List Order'!I:I,"Nomor Akses")</f>
        <v>0</v>
      </c>
      <c r="BA5" s="15">
        <f>SUMIFS('List Order'!T:T,'List Order'!C:C,"2025",'List Order'!B:B,"Maret",'List Order'!H:H,"Novasi",'List Order'!I:I,"Nomor Akses")</f>
        <v>0</v>
      </c>
      <c r="BB5" s="3">
        <f>COUNTIFS('List Order'!C:C,"2025",'List Order'!B:B,"April",'List Order'!H:H,"Novasi",'List Order'!I:I,"Nomor Akses")</f>
        <v>0</v>
      </c>
      <c r="BC5" s="15">
        <f>SUMIFS('List Order'!T:T,'List Order'!C:C,"2025",'List Order'!B:B,"April",'List Order'!H:H,"Novasi",'List Order'!I:I,"Nomor Akses")</f>
        <v>0</v>
      </c>
      <c r="BD5" s="3">
        <f>COUNTIFS('List Order'!C:C,"2025",'List Order'!B:B,"Mei",'List Order'!H:H,"Novasi",'List Order'!I:I,"Nomor Akses")</f>
        <v>0</v>
      </c>
      <c r="BE5" s="15">
        <f>SUMIFS('List Order'!T:T,'List Order'!C:C,"2025",'List Order'!B:B,"Mei",'List Order'!H:H,"Novasi",'List Order'!I:I,"Nomor Akses")</f>
        <v>0</v>
      </c>
      <c r="BF5" s="3">
        <f>COUNTIFS('List Order'!C:C,"2025",'List Order'!B:B,"Juni",'List Order'!H:H,"Novasi",'List Order'!I:I,"Nomor Akses")</f>
        <v>3</v>
      </c>
      <c r="BG5" s="15">
        <f>SUMIFS('List Order'!T:T,'List Order'!C:C,"2025",'List Order'!B:B,"Juni",'List Order'!H:H,"Novasi",'List Order'!I:I,"Nomor Akses")</f>
        <v>4000000</v>
      </c>
      <c r="BH5" s="3">
        <f>COUNTIFS('List Order'!C:C,"2025",'List Order'!B:B,"Juli",'List Order'!H:H,"Novasi",'List Order'!I:I,"Nomor Akses")</f>
        <v>3</v>
      </c>
      <c r="BI5" s="15">
        <f>SUMIFS('List Order'!T:T,'List Order'!C:C,"2025",'List Order'!B:B,"Juli",'List Order'!H:H,"Novasi",'List Order'!I:I,"Nomor Akses")</f>
        <v>7500000</v>
      </c>
      <c r="BJ5" s="3">
        <f>COUNTIFS('List Order'!C:C,"2025",'List Order'!B:B,"Agustus",'List Order'!H:H,"Novasi",'List Order'!I:I,"Nomor Akses")</f>
        <v>1</v>
      </c>
      <c r="BK5" s="15">
        <f>SUMIFS('List Order'!T:T,'List Order'!C:C,"2025",'List Order'!B:B,"Agustus",'List Order'!H:H,"Novasi",'List Order'!I:I,"Nomor Akses")</f>
        <v>0</v>
      </c>
      <c r="BL5" s="3">
        <f>COUNTIFS('List Order'!C:C,"2025",'List Order'!B:B,"September",'List Order'!H:H,"Novasi",'List Order'!I:I,"Nomor Akses")</f>
        <v>0</v>
      </c>
      <c r="BM5" s="15">
        <f>SUMIFS('List Order'!T:T,'List Order'!C:C,"2025",'List Order'!B:B,"September",'List Order'!H:H,"Novasi",'List Order'!I:I,"Nomor Akses")</f>
        <v>0</v>
      </c>
      <c r="BN5" s="3">
        <f>COUNTIFS('List Order'!C:C,"2025",'List Order'!B:B,"Oktober",'List Order'!H:H,"Novasi",'List Order'!I:I,"Nomor Akses")</f>
        <v>1</v>
      </c>
      <c r="BO5" s="15">
        <f>SUMIFS('List Order'!T:T,'List Order'!C:C,"2025",'List Order'!B:B,"Oktober",'List Order'!H:H,"Novasi",'List Order'!I:I,"Nomor Akses")</f>
        <v>580000</v>
      </c>
      <c r="BP5" s="3">
        <f>COUNTIFS('List Order'!C:C,"2025",'List Order'!B:B,"November",'List Order'!H:H,"Novasi",'List Order'!I:I,"Nomor Akses")</f>
        <v>0</v>
      </c>
      <c r="BQ5" s="15">
        <f>SUMIFS('List Order'!T:T,'List Order'!C:C,"2025",'List Order'!B:B,"November",'List Order'!H:H,"Novasi",'List Order'!I:I,"Nomor Akses")</f>
        <v>0</v>
      </c>
      <c r="BR5" s="3">
        <f>COUNTIFS('List Order'!C:C,"2025",'List Order'!B:B,"Desember",'List Order'!H:H,"Novasi",'List Order'!I:I,"Nomor Akses")</f>
        <v>0</v>
      </c>
      <c r="BS5" s="15">
        <f>SUMIFS('List Order'!T:T,'List Order'!C:C,"2025",'List Order'!B:B,"Desember",'List Order'!H:H,"Novasi")</f>
        <v>0</v>
      </c>
    </row>
    <row r="6" spans="2:71" ht="15" customHeight="1">
      <c r="B6" s="29"/>
      <c r="C6" s="29"/>
      <c r="D6" s="29"/>
      <c r="E6" s="29"/>
      <c r="F6" s="38"/>
      <c r="G6" s="38"/>
      <c r="H6" s="38"/>
      <c r="I6" s="38"/>
      <c r="AE6" t="s">
        <v>69</v>
      </c>
      <c r="AF6" s="18">
        <f>COUNTIFS('List Project'!D:D,"Januari",'List Project'!O:O,"Gugum",'List Project'!C:C,"2025")</f>
        <v>6</v>
      </c>
      <c r="AG6" s="18">
        <f>COUNTIFS('List Project'!D:D,"Februari",'List Project'!O:O,"Gugum",'List Project'!C:C,"2025")</f>
        <v>0</v>
      </c>
      <c r="AH6" s="18">
        <f>COUNTIFS('List Project'!D:D,"Maret",'List Project'!O:O,"Gugum",'List Project'!C:C,"2025")</f>
        <v>0</v>
      </c>
      <c r="AI6" s="18">
        <f>COUNTIFS('List Project'!D:D,"April",'List Project'!O:O,"Gugum",'List Project'!C:C,"2025")</f>
        <v>0</v>
      </c>
      <c r="AJ6" s="18">
        <f>COUNTIFS('List Project'!D:D,"Mei",'List Project'!O:O,"Gugum",'List Project'!C:C,"2025")</f>
        <v>0</v>
      </c>
      <c r="AK6" s="18">
        <f>COUNTIFS('List Project'!D:D,"Juni",'List Project'!O:O,"Gugum",'List Project'!C:C,"2025")</f>
        <v>0</v>
      </c>
      <c r="AL6" s="18">
        <f>COUNTIFS('List Project'!D:D,"Juli",'List Project'!O:O,"Gugum",'List Project'!C:C,"2025")</f>
        <v>10</v>
      </c>
      <c r="AM6" s="18">
        <f>COUNTIFS('List Project'!D:D,"Agustus",'List Project'!O:O,"Gugum",'List Project'!C:C,"2025")</f>
        <v>3</v>
      </c>
      <c r="AN6" s="18">
        <f>COUNTIFS('List Project'!D:D,"September",'List Project'!O:O,"Gugum",'List Project'!C:C,"2025")</f>
        <v>4</v>
      </c>
      <c r="AO6" s="18">
        <f>COUNTIFS('List Project'!D:D,"Oktober",'List Project'!O:O,"Gugum",'List Project'!C:C,"2025")</f>
        <v>4</v>
      </c>
      <c r="AP6" s="18">
        <f>COUNTIFS('List Project'!D:D,"November",'List Project'!O:O,"Gugum",'List Project'!C:C,"2025")</f>
        <v>0</v>
      </c>
      <c r="AQ6" s="18">
        <f>COUNTIFS('List Project'!D:D,"Desember",'List Project'!O:O,"Gugum",'List Project'!C:C,"2025")</f>
        <v>5</v>
      </c>
      <c r="AR6" s="17">
        <f>SUM(AF6:AQ6)</f>
        <v>32</v>
      </c>
      <c r="AS6" s="17">
        <f ca="1">SUMIFS('List Project'!W:W,'List Project'!AC:AC,"Gugum",'List Project'!M:M,"2025")</f>
        <v>0</v>
      </c>
      <c r="AU6" s="1" t="s">
        <v>1364</v>
      </c>
      <c r="AV6" s="3">
        <f>COUNTIFS('List Order'!C:C,"2025",'List Order'!B:B,"Januari",'List Order'!H:H,"Modified",'List Order'!I:I,"Nomor Akses")</f>
        <v>2</v>
      </c>
      <c r="AW6" s="15">
        <f>SUMIFS('List Order'!T:T,'List Order'!C:C,"2025",'List Order'!B:B,"Januari",'List Order'!H:H,"Modified",'List Order'!I:I,"Nomor Akses")</f>
        <v>0</v>
      </c>
      <c r="AX6" s="3">
        <f>COUNTIFS('List Order'!C:C,"2025",'List Order'!B:B,"Februari",'List Order'!H:H,"Modified",'List Order'!I:I,"Nomor Akses")</f>
        <v>0</v>
      </c>
      <c r="AY6" s="15">
        <f>SUMIFS('List Order'!T:T,'List Order'!C:C,"2025",'List Order'!B:B,"Februari",'List Order'!H:H,"Modified",'List Order'!I:I,"Nomor Akses")</f>
        <v>0</v>
      </c>
      <c r="AZ6" s="3">
        <f>COUNTIFS('List Order'!C:C,"2025",'List Order'!B:B,"Maret",'List Order'!H:H,"Modified",'List Order'!I:I,"Nomor Akses")</f>
        <v>1</v>
      </c>
      <c r="BA6" s="15">
        <f>SUMIFS('List Order'!T:T,'List Order'!C:C,"2025",'List Order'!B:B,"Maret",'List Order'!H:H,"Modified",'List Order'!I:I,"Nomor Akses")</f>
        <v>0</v>
      </c>
      <c r="BB6" s="3">
        <f>COUNTIFS('List Order'!C:C,"2025",'List Order'!B:B,"April",'List Order'!H:H,"Modified",'List Order'!I:I,"Nomor Akses")</f>
        <v>0</v>
      </c>
      <c r="BC6" s="15">
        <f>SUMIFS('List Order'!T:T,'List Order'!C:C,"2025",'List Order'!B:B,"April",'List Order'!H:H,"Modified",'List Order'!I:I,"Nomor Akses")</f>
        <v>0</v>
      </c>
      <c r="BD6" s="3">
        <f>COUNTIFS('List Order'!C:C,"2025",'List Order'!B:B,"Mei",'List Order'!H:H,"Modified",'List Order'!I:I,"Nomor Akses")</f>
        <v>0</v>
      </c>
      <c r="BE6" s="15">
        <f>SUMIFS('List Order'!T:T,'List Order'!C:C,"2025",'List Order'!B:B,"Mei",'List Order'!H:H,"Modified",'List Order'!I:I,"Nomor Akses")</f>
        <v>0</v>
      </c>
      <c r="BF6" s="3">
        <f>COUNTIFS('List Order'!C:C,"2025",'List Order'!B:B,"Juni",'List Order'!H:H,"Modified",'List Order'!I:I,"Nomor Akses")</f>
        <v>0</v>
      </c>
      <c r="BG6" s="15">
        <f>SUMIFS('List Order'!T:T,'List Order'!C:C,"2025",'List Order'!B:B,"Juni",'List Order'!H:H,"Modified",'List Order'!I:I,"Nomor Akses")</f>
        <v>0</v>
      </c>
      <c r="BH6" s="3">
        <f>COUNTIFS('List Order'!C:C,"2025",'List Order'!B:B,"Juni",'List Order'!H:H,"Modified",'List Order'!I:I,"Nomor Akses")</f>
        <v>0</v>
      </c>
      <c r="BI6" s="15">
        <f>SUMIFS('List Order'!T:T,'List Order'!C:C,"2025",'List Order'!B:B,"Juli",'List Order'!H:H,"Modified",'List Order'!I:I,"Nomor Akses")</f>
        <v>5800000</v>
      </c>
      <c r="BJ6" s="3">
        <f>COUNTIFS('List Order'!C:C,"2025",'List Order'!B:B,"Agustus",'List Order'!H:H,"Modified",'List Order'!I:I,"Nomor Akses")</f>
        <v>0</v>
      </c>
      <c r="BK6" s="15">
        <f>SUMIFS('List Order'!T:T,'List Order'!C:C,"2025",'List Order'!B:B,"Agustus",'List Order'!H:H,"Modified",'List Order'!I:I,"Nomor Akses")</f>
        <v>0</v>
      </c>
      <c r="BL6" s="3">
        <f>COUNTIFS('List Order'!C:C,"2025",'List Order'!B:B,"September",'List Order'!H:H,"Modified",'List Order'!I:I,"Nomor Akses")</f>
        <v>0</v>
      </c>
      <c r="BM6" s="15">
        <f>SUMIFS('List Order'!T:T,'List Order'!C:C,"2025",'List Order'!B:B,"September",'List Order'!H:H,"Modified",'List Order'!I:I,"Nomor Akses")</f>
        <v>0</v>
      </c>
      <c r="BN6" s="3">
        <f>COUNTIFS('List Order'!C:C,"2025",'List Order'!B:B,"Oktober",'List Order'!H:H,"Modified",'List Order'!I:I,"Nomor Akses")</f>
        <v>0</v>
      </c>
      <c r="BO6" s="15">
        <f>SUMIFS('List Order'!T:T,'List Order'!C:C,"2025",'List Order'!B:B,"Oktober",'List Order'!H:H,"Modified",'List Order'!I:I,"Nomor Akses")</f>
        <v>0</v>
      </c>
      <c r="BP6" s="3">
        <f>COUNTIFS('List Order'!C:C,"2025",'List Order'!B:B,"November",'List Order'!H:H,"Modified",'List Order'!I:I,"Nomor Akses")</f>
        <v>0</v>
      </c>
      <c r="BQ6" s="15">
        <f>SUMIFS('List Order'!T:T,'List Order'!C:C,"2025",'List Order'!B:B,"November",'List Order'!H:H,"Modified",'List Order'!I:I,"Nomor Akses")</f>
        <v>0</v>
      </c>
      <c r="BR6" s="3">
        <f>COUNTIFS('List Order'!C:C,"2025",'List Order'!B:B,"Desember",'List Order'!H:H,"Modified",'List Order'!I:I,"Nomor Akses")</f>
        <v>0</v>
      </c>
      <c r="BS6" s="15">
        <f>SUMIFS('List Order'!T:T,'List Order'!C:C,"2025",'List Order'!B:B,"Desember",'List Order'!H:H,"Modified")</f>
        <v>0</v>
      </c>
    </row>
    <row r="7" spans="2:71" ht="15" customHeight="1">
      <c r="B7" s="29"/>
      <c r="C7" s="29"/>
      <c r="D7" s="29"/>
      <c r="E7" s="29"/>
      <c r="F7" s="38"/>
      <c r="G7" s="38"/>
      <c r="H7" s="38"/>
      <c r="I7" s="38"/>
      <c r="AE7" t="s">
        <v>3228</v>
      </c>
      <c r="AF7" s="17">
        <f>SUMIFS('List Project'!I:I,'List Project'!D:D,"Januari",'List Project'!F:F,"CRM",'List Project'!C:C,"2025")</f>
        <v>53579916441</v>
      </c>
      <c r="AG7" s="17">
        <f>SUMIFS('List Project'!I:I,'List Project'!D:D,"Februari",'List Project'!F:F,"CRM",'List Project'!C:C,"2025")</f>
        <v>5080908001</v>
      </c>
      <c r="AH7" s="17">
        <f>SUMIFS('List Project'!I:I,'List Project'!D:D,"Maret",'List Project'!F:F,"CRM",'List Project'!C:C,"2025")</f>
        <v>12525655865</v>
      </c>
      <c r="AI7" s="17">
        <f>SUMIFS('List Project'!I:I,'List Project'!D:D,"April",'List Project'!F:F,"CRM",'List Project'!C:C,"2025")</f>
        <v>4081099554</v>
      </c>
      <c r="AJ7" s="17">
        <f>SUMIFS('List Project'!I:I,'List Project'!D:D,"Mei",'List Project'!F:F,"CRM",'List Project'!C:C,"2025")</f>
        <v>109600000</v>
      </c>
      <c r="AK7" s="17">
        <f>SUMIFS('List Project'!I:I,'List Project'!D:D,"Juni",'List Project'!F:F,"CRM",'List Project'!C:C,"2025")</f>
        <v>22521005152</v>
      </c>
      <c r="AL7" s="17">
        <f>SUMIFS('List Project'!I:I,'List Project'!D:D,"Juli",'List Project'!F:F,"CRM",'List Project'!C:C,"2025")</f>
        <v>18173661612</v>
      </c>
      <c r="AM7" s="17">
        <f>SUMIFS('List Project'!I:I,'List Project'!D:D,"Agustus",'List Project'!F:F,"CRM",'List Project'!C:C,"2025")</f>
        <v>22172428806</v>
      </c>
      <c r="AN7" s="17">
        <f>SUMIFS('List Project'!I:I,'List Project'!D:D,"September",'List Project'!F:F,"CRM",'List Project'!C:C,"2025")</f>
        <v>126059684045.10001</v>
      </c>
      <c r="AO7" s="17">
        <f>SUMIFS('List Project'!I:I,'List Project'!D:D,"Oktober",'List Project'!F:F,"CRM",'List Project'!C:C,"2025")</f>
        <v>268456285390.20001</v>
      </c>
      <c r="AP7" s="17">
        <f>SUMIFS('List Project'!I:I,'List Project'!D:D,"November",'List Project'!F:F,"CRM",'List Project'!C:C,"2025")</f>
        <v>39966893707</v>
      </c>
      <c r="AQ7" s="17">
        <f>SUMIFS('List Project'!I:I,'List Project'!D:D,"Desember",'List Project'!F:F,"CRM",'List Project'!C:C,"2025")</f>
        <v>972546536854</v>
      </c>
      <c r="AR7" s="17">
        <f t="shared" ref="AR7:AR9" si="0">SUM(AF7:AQ7)</f>
        <v>1545273675427.3</v>
      </c>
      <c r="AU7" s="1" t="s">
        <v>3229</v>
      </c>
      <c r="AV7" s="3">
        <f>COUNTIFS('List Order'!C:C,"2025",'List Order'!B:B,"Januari",'List Order'!H:H,"Dismantle",'List Order'!I:I,"Nomor Akses")</f>
        <v>3</v>
      </c>
      <c r="AW7" s="15">
        <f>SUMIFS('List Order'!T:T,'List Order'!C:C,"2025",'List Order'!B:B,"Januari",'List Order'!H:H,"Dismantle",'List Order'!I:I,"Nomor Akses")</f>
        <v>4500000</v>
      </c>
      <c r="AX7" s="3">
        <f>COUNTIFS('List Order'!C:C,"2025",'List Order'!B:B,"Februari",'List Order'!H:H,"Dismantle",'List Order'!I:I,"Nomor Akses")</f>
        <v>7</v>
      </c>
      <c r="AY7" s="15">
        <f>SUMIFS('List Order'!T:T,'List Order'!C:C,"2025",'List Order'!B:B,"Februari",'List Order'!H:H,"Dismantle",'List Order'!I:I,"Nomor Akses")</f>
        <v>10160000</v>
      </c>
      <c r="AZ7" s="3">
        <f>COUNTIFS('List Order'!C:C,"2025",'List Order'!B:B,"Maret",'List Order'!H:H,"Dismantle",'List Order'!I:I,"Nomor Akses")</f>
        <v>2</v>
      </c>
      <c r="BA7" s="15">
        <f>SUMIFS('List Order'!T:T,'List Order'!C:C,"2025",'List Order'!B:B,"Maret",'List Order'!H:H,"Dismantle",'List Order'!I:I,"Nomor Akses")</f>
        <v>5000000</v>
      </c>
      <c r="BB7" s="3">
        <f>COUNTIFS('List Order'!C:C,"2025",'List Order'!B:B,"April",'List Order'!H:H,"Dismantle",'List Order'!I:I,"Nomor Akses")</f>
        <v>2</v>
      </c>
      <c r="BC7" s="15">
        <f>SUMIFS('List Order'!T:T,'List Order'!C:C,"2025",'List Order'!B:B,"April",'List Order'!H:H,"Dismantle",'List Order'!I:I,"Nomor Akses")</f>
        <v>4000000</v>
      </c>
      <c r="BD7" s="3">
        <f>COUNTIFS('List Order'!C:C,"2025",'List Order'!B:B,"Mei",'List Order'!H:H,"Dismantle",'List Order'!I:I,"Nomor Akses")</f>
        <v>5</v>
      </c>
      <c r="BE7" s="15">
        <f>SUMIFS('List Order'!T:T,'List Order'!C:C,"2025",'List Order'!B:B,"Mei",'List Order'!H:H,"Dismantle",'List Order'!I:I,"Nomor Akses")</f>
        <v>12500000</v>
      </c>
      <c r="BF7" s="3">
        <f>COUNTIFS('List Order'!C:C,"2025",'List Order'!B:B,"Juni",'List Order'!H:H,"Dismantle",'List Order'!I:I,"Nomor Akses")</f>
        <v>2</v>
      </c>
      <c r="BG7" s="15">
        <f>SUMIFS('List Order'!T:T,'List Order'!C:C,"2025",'List Order'!B:B,"Juni",'List Order'!H:H,"Dismantle",'List Order'!I:I,"Nomor Akses")</f>
        <v>4000000</v>
      </c>
      <c r="BH7" s="3">
        <f>COUNTIFS('List Order'!C:C,"2025",'List Order'!B:B,"Juli",'List Order'!H:H,"Dismantle",'List Order'!I:I,"Nomor Akses")</f>
        <v>2</v>
      </c>
      <c r="BI7" s="15">
        <f>SUMIFS('List Order'!T:T,'List Order'!C:C,"2025",'List Order'!B:B,"Juli",'List Order'!H:H,"Dismantle",'List Order'!I:I,"Nomor Akses")</f>
        <v>0</v>
      </c>
      <c r="BJ7" s="3">
        <f>COUNTIFS('List Order'!C:C,"2025",'List Order'!B:B,"Agustus",'List Order'!H:H,"Dismantle",'List Order'!I:I,"Nomor Akses")</f>
        <v>3</v>
      </c>
      <c r="BK7" s="15">
        <f>SUMIFS('List Order'!T:T,'List Order'!C:C,"2025",'List Order'!B:B,"Agustus",'List Order'!H:H,"Dismantle",'List Order'!I:I,"Nomor Akses")</f>
        <v>5000000</v>
      </c>
      <c r="BL7" s="3">
        <f>COUNTIFS('List Order'!C:C,"2025",'List Order'!B:B,"September",'List Order'!H:H,"Dismantle",'List Order'!I:I,"Nomor Akses")</f>
        <v>2</v>
      </c>
      <c r="BM7" s="15">
        <f>SUMIFS('List Order'!T:T,'List Order'!C:C,"2025",'List Order'!B:B,"September",'List Order'!H:H,"Dismantle",'List Order'!I:I,"Nomor Akses")</f>
        <v>5000000</v>
      </c>
      <c r="BN7" s="3">
        <f>COUNTIFS('List Order'!C:C,"2025",'List Order'!B:B,"Oktober",'List Order'!H:H,"Dismantle",'List Order'!I:I,"Nomor Akses")</f>
        <v>4</v>
      </c>
      <c r="BO7" s="15">
        <f>SUMIFS('List Order'!T:T,'List Order'!C:C,"2025",'List Order'!B:B,"Oktober",'List Order'!H:H,"Dismantle",'List Order'!I:I,"Nomor Akses")</f>
        <v>2500000</v>
      </c>
      <c r="BP7" s="3">
        <f>COUNTIFS('List Order'!C:C,"2025",'List Order'!B:B,"November",'List Order'!H:H,"Dismantle",'List Order'!I:I,"Nomor Akses")</f>
        <v>0</v>
      </c>
      <c r="BQ7" s="15">
        <f>SUMIFS('List Order'!T:T,'List Order'!C:C,"2025",'List Order'!B:B,"November",'List Order'!H:H,"Dismantle",'List Order'!I:I,"Nomor Akses")</f>
        <v>0</v>
      </c>
      <c r="BR7" s="3">
        <f>COUNTIFS('List Order'!C:C,"2025",'List Order'!B:B,"Desember",'List Order'!H:H,"Dismantle",'List Order'!I:I,"Nomor Akses")</f>
        <v>9</v>
      </c>
      <c r="BS7" s="15">
        <f>SUMIFS('List Order'!T:T,'List Order'!C:C,"2025",'List Order'!B:B,"Desember",'List Order'!H:H,"Dismantle")</f>
        <v>0</v>
      </c>
    </row>
    <row r="8" spans="2:71" ht="15" customHeight="1">
      <c r="B8" s="29"/>
      <c r="C8" s="29"/>
      <c r="D8" s="29"/>
      <c r="E8" s="29"/>
      <c r="F8" s="30"/>
      <c r="G8" s="30"/>
      <c r="H8" s="30"/>
      <c r="I8" s="30"/>
      <c r="AE8" t="s">
        <v>3230</v>
      </c>
      <c r="AF8" s="17">
        <f>SUMIFS('List Project'!I:I,'List Project'!D:D,"Januari",'List Project'!F:F,"SSO",'List Project'!C:C,"2025")</f>
        <v>0</v>
      </c>
      <c r="AG8" s="17">
        <f>SUMIFS('List Project'!I:I,'List Project'!D:D,"Februari",'List Project'!F:F,"SSO",'List Project'!C:C,"2025")</f>
        <v>5970050205</v>
      </c>
      <c r="AH8" s="17">
        <f>SUMIFS('List Project'!I:I,'List Project'!D:D,"Maret",'List Project'!F:F,"SSO",'List Project'!C:C,"2025")</f>
        <v>0</v>
      </c>
      <c r="AI8" s="17">
        <f>SUMIFS('List Project'!I:I,'List Project'!D:D,"April",'List Project'!F:F,"SSO",'List Project'!C:C,"2025")</f>
        <v>0</v>
      </c>
      <c r="AJ8" s="17">
        <f>SUMIFS('List Project'!I:I,'List Project'!D:D,"Mei",'List Project'!F:F,"SSO",'List Project'!C:C,"2025")</f>
        <v>0</v>
      </c>
      <c r="AK8" s="17">
        <f>SUMIFS('List Project'!I:I,'List Project'!D:D,"Juni",'List Project'!F:F,"SSO",'List Project'!C:C,"2025")</f>
        <v>0</v>
      </c>
      <c r="AL8" s="17">
        <f>SUMIFS('List Project'!I:I,'List Project'!D:D,"Juli",'List Project'!F:F,"SSO",'List Project'!C:C,"2025")</f>
        <v>0</v>
      </c>
      <c r="AM8" s="17">
        <f>SUMIFS('List Project'!I:I,'List Project'!D:D,"Agustus",'List Project'!F:F,"SSO",'List Project'!C:C,"2025")</f>
        <v>0</v>
      </c>
      <c r="AN8" s="17">
        <f>SUMIFS('List Project'!I:I,'List Project'!D:D,"September",'List Project'!F:F,"SSO",'List Project'!C:C,"2025")</f>
        <v>0</v>
      </c>
      <c r="AO8" s="17">
        <f>SUMIFS('List Project'!I:I,'List Project'!D:D,"Oktober",'List Project'!F:F,"SSO",'List Project'!C:C,"2025")</f>
        <v>0</v>
      </c>
      <c r="AP8" s="17">
        <f>SUMIFS('List Project'!I:I,'List Project'!D:D,"November",'List Project'!F:F,"SSO",'List Project'!C:C,"2025")</f>
        <v>0</v>
      </c>
      <c r="AQ8" s="17">
        <f>SUMIFS('List Project'!I:I,'List Project'!D:D,"Desember",'List Project'!F:F,"SSO",'List Project'!C:C,"2025")</f>
        <v>0</v>
      </c>
      <c r="AR8" s="17">
        <f t="shared" si="0"/>
        <v>5970050205</v>
      </c>
      <c r="AU8" s="8" t="s">
        <v>3231</v>
      </c>
      <c r="AV8" s="9">
        <f>COUNTIFS('List Order'!B:B,"Januari",'List Order'!I:I,"Connectivity",'List Order'!C:C,"2025")</f>
        <v>9</v>
      </c>
      <c r="AW8" s="14">
        <f>SUM(AW9:AW10)</f>
        <v>22544200</v>
      </c>
      <c r="AX8" s="9">
        <f>COUNTIFS('List Order'!B:B,"Februari",'List Order'!I:I,"Connectivity",'List Order'!C:C,"2025")</f>
        <v>27</v>
      </c>
      <c r="AY8" s="14">
        <f>SUM(AY9:AY10)</f>
        <v>61971700</v>
      </c>
      <c r="AZ8" s="9">
        <f>COUNTIFS('List Order'!B:B,"Maret",'List Order'!I:I,"Connectivity",'List Order'!C:C,"2025")</f>
        <v>31</v>
      </c>
      <c r="BA8" s="14">
        <f>SUM(BA9:BA10)</f>
        <v>1649000</v>
      </c>
      <c r="BB8" s="9">
        <f>COUNTIFS('List Order'!B:B,"April",'List Order'!I:I,"Connectivity",'List Order'!C:C,"2025")</f>
        <v>23</v>
      </c>
      <c r="BC8" s="14">
        <f>SUM(BC9:BC10)</f>
        <v>120157866</v>
      </c>
      <c r="BD8" s="9">
        <f>COUNTIFS('List Order'!B:B,"Mei",'List Order'!I:I,"Connectivity",'List Order'!C:C,"2025")</f>
        <v>31</v>
      </c>
      <c r="BE8" s="14">
        <f>SUM(BE9:BE10)</f>
        <v>44624166</v>
      </c>
      <c r="BF8" s="9">
        <f>COUNTIFS('List Order'!B:B,"Juni",'List Order'!I:I,"Connectivity",'List Order'!C:C,"2025")</f>
        <v>15</v>
      </c>
      <c r="BG8" s="14">
        <f>SUM(BG9:BG10)</f>
        <v>5474000</v>
      </c>
      <c r="BH8" s="9">
        <f>COUNTIFS('List Order'!B:B,"Juli",'List Order'!I:I,"Connectivity",'List Order'!C:C,"2025")</f>
        <v>12</v>
      </c>
      <c r="BI8" s="14">
        <f>SUM(BI9:BI10)</f>
        <v>3704000</v>
      </c>
      <c r="BJ8" s="9">
        <f>COUNTIFS('List Order'!B:B,"Agustus",'List Order'!I:I,"Connectivity",'List Order'!C:C,"2025")</f>
        <v>14</v>
      </c>
      <c r="BK8" s="14">
        <f>SUM(BK9:BK10)</f>
        <v>2059000</v>
      </c>
      <c r="BL8" s="9">
        <f>COUNTIFS('List Order'!B:B,"September",'List Order'!I:I,"Connectivity",'List Order'!C:C,"2025")</f>
        <v>17</v>
      </c>
      <c r="BM8" s="14">
        <f>SUM(BM9:BM10)</f>
        <v>9116400</v>
      </c>
      <c r="BN8" s="9">
        <f>COUNTIFS('List Order'!B:B,"Oktober",'List Order'!I:I,"Connectivity",'List Order'!C:C,"2025")</f>
        <v>21</v>
      </c>
      <c r="BO8" s="14">
        <f>SUM(BO9:BO10)</f>
        <v>0</v>
      </c>
      <c r="BP8" s="9">
        <f>COUNTIFS('List Order'!B:B,"November",'List Order'!I:I,"Connectivity",'List Order'!C:C,"2025")</f>
        <v>24</v>
      </c>
      <c r="BQ8" s="14">
        <f>SUM(BQ9:BQ10)</f>
        <v>0</v>
      </c>
      <c r="BR8" s="9">
        <f>COUNTIFS('List Order'!B:B,"Desember",'List Order'!I:I,"Connectivity",'List Order'!C:C,"2025")</f>
        <v>20</v>
      </c>
      <c r="BS8" s="14">
        <f>SUM(BS9:BS10)</f>
        <v>0</v>
      </c>
    </row>
    <row r="9" spans="2:71" ht="15" customHeight="1">
      <c r="B9" s="29"/>
      <c r="C9" s="37"/>
      <c r="D9" s="37"/>
      <c r="E9" s="37"/>
      <c r="F9" s="37"/>
      <c r="G9" s="37"/>
      <c r="H9" s="37"/>
      <c r="I9" s="30"/>
      <c r="AE9" t="s">
        <v>3232</v>
      </c>
      <c r="AF9" s="17">
        <f>SUMIFS('List Project'!I:I,'List Project'!D:D,"Januari",'List Project'!F:F,"Nomor Akses",'List Project'!C:C,"2025")</f>
        <v>1577912036</v>
      </c>
      <c r="AG9" s="17">
        <f>SUMIFS('List Project'!I:I,'List Project'!D:D,"Februari",'List Project'!F:F,"Nomor Akses",'List Project'!C:C,"2025")</f>
        <v>2413599600</v>
      </c>
      <c r="AH9" s="17">
        <f>SUMIFS('List Project'!I:I,'List Project'!D:D,"Maret",'List Project'!F:F,"Nomor Akses",'List Project'!C:C,"2025")</f>
        <v>0</v>
      </c>
      <c r="AI9" s="17">
        <f>SUMIFS('List Project'!I:I,'List Project'!D:D,"April",'List Project'!F:F,"Nomor Akses",'List Project'!C:C,"2025")</f>
        <v>465420000</v>
      </c>
      <c r="AJ9" s="17">
        <f>SUMIFS('List Project'!I:I,'List Project'!D:D,"Mei",'List Project'!F:F,"Nomor Akses",'List Project'!C:C,"2025")</f>
        <v>1383060000</v>
      </c>
      <c r="AK9" s="17">
        <f>SUMIFS('List Project'!I:I,'List Project'!D:D,"Juni",'List Project'!F:F,"Nomor Akses",'List Project'!C:C,"2025")</f>
        <v>153000000</v>
      </c>
      <c r="AL9" s="17">
        <f>SUMIFS('List Project'!I:I,'List Project'!D:D,"Juli",'List Project'!F:F,"Nomor Akses",'List Project'!C:C,"2025")</f>
        <v>1491340000</v>
      </c>
      <c r="AM9" s="17">
        <f>SUMIFS('List Project'!I:I,'List Project'!D:D,"Agustus",'List Project'!F:F,"Nomor Akses",'List Project'!C:C,"2025")</f>
        <v>400500000</v>
      </c>
      <c r="AN9" s="17">
        <f>SUMIFS('List Project'!I:I,'List Project'!D:D,"September",'List Project'!F:F,"Nomor Akses",'List Project'!C:C,"2025")</f>
        <v>362600000</v>
      </c>
      <c r="AO9" s="17">
        <f>SUMIFS('List Project'!I:I,'List Project'!D:D,"Oktober",'List Project'!F:F,"Nomor Akses",'List Project'!C:C,"2025")</f>
        <v>656488000</v>
      </c>
      <c r="AP9" s="17">
        <f>SUMIFS('List Project'!I:I,'List Project'!D:D,"November",'List Project'!F:F,"Nomor Akses",'List Project'!C:C,"2025")</f>
        <v>0</v>
      </c>
      <c r="AQ9" s="17">
        <f>SUMIFS('List Project'!I:I,'List Project'!D:D,"Desember",'List Project'!F:F,"Nomor Akses",'List Project'!C:C,"2025")</f>
        <v>171200000</v>
      </c>
      <c r="AR9" s="17">
        <f t="shared" si="0"/>
        <v>9075119636</v>
      </c>
      <c r="AU9" s="1" t="s">
        <v>1633</v>
      </c>
      <c r="AV9" s="3">
        <f>COUNTIFS('List Order'!C:C,"2025",'List Order'!B:B,"Januari",'List Order'!H:H,"PSB",'List Order'!I:I,"Connectivity")</f>
        <v>5</v>
      </c>
      <c r="AW9" s="15">
        <f>SUMIFS('List Order'!T:T,'List Order'!C:C,"2025",'List Order'!B:B,"Januari",'List Order'!H:H,"PSB",'List Order'!I:I,"Connectivity")</f>
        <v>4871200</v>
      </c>
      <c r="AX9" s="3">
        <f>COUNTIFS('List Order'!C:C,"2025",'List Order'!B:B,"Februari",'List Order'!H:H,"PSB",'List Order'!I:I,"Connectivity")</f>
        <v>8</v>
      </c>
      <c r="AY9" s="15">
        <f>SUMIFS('List Order'!T:T,'List Order'!C:C,"2025",'List Order'!B:B,"Februari",'List Order'!H:H,"PSB",'List Order'!I:I,"Connectivity")</f>
        <v>36761800</v>
      </c>
      <c r="AZ9" s="3">
        <f>COUNTIFS('List Order'!C:C,"2025",'List Order'!B:B,"Maret",'List Order'!H:H,"PSB",'List Order'!I:I,"Connectivity")</f>
        <v>2</v>
      </c>
      <c r="BA9" s="15">
        <f>SUMIFS('List Order'!T:T,'List Order'!C:C,"2025",'List Order'!B:B,"Maret",'List Order'!H:H,"PSB",'List Order'!I:I,"Connectivity")</f>
        <v>1649000</v>
      </c>
      <c r="BB9" s="3">
        <f>COUNTIFS('List Order'!C:C,"2025",'List Order'!B:B,"April",'List Order'!H:H,"PSB",'List Order'!I:I,"Connectivity")</f>
        <v>7</v>
      </c>
      <c r="BC9" s="15">
        <f>SUMIFS('List Order'!T:T,'List Order'!C:C,"2025",'List Order'!B:B,"April",'List Order'!H:H,"PSB",'List Order'!I:I,"Connectivity")</f>
        <v>7912000</v>
      </c>
      <c r="BD9" s="3">
        <f>COUNTIFS('List Order'!C:C,"2025",'List Order'!B:B,"Mei",'List Order'!H:H,"PSB",'List Order'!I:I,"Connectivity")</f>
        <v>10</v>
      </c>
      <c r="BE9" s="15">
        <f>SUMIFS('List Order'!T:T,'List Order'!C:C,"2025",'List Order'!B:B,"Mei",'List Order'!H:H,"PSB",'List Order'!I:I,"Connectivity")</f>
        <v>22976000</v>
      </c>
      <c r="BF9" s="3">
        <f>COUNTIFS('List Order'!C:C,"2025",'List Order'!B:B,"Juni",'List Order'!H:H,"PSB",'List Order'!I:I,"Connectivity")</f>
        <v>8</v>
      </c>
      <c r="BG9" s="15">
        <f>SUMIFS('List Order'!T:T,'List Order'!C:C,"2025",'List Order'!B:B,"Juni",'List Order'!H:H,"PSB",'List Order'!I:I,"Connectivity")</f>
        <v>2903000</v>
      </c>
      <c r="BH9" s="3">
        <f>COUNTIFS('List Order'!C:C,"2025",'List Order'!B:B,"Juli",'List Order'!H:H,"PSB",'List Order'!I:I,"Connectivity")</f>
        <v>6</v>
      </c>
      <c r="BI9" s="15">
        <f>SUMIFS('List Order'!T:T,'List Order'!C:C,"2025",'List Order'!B:B,"Juli",'List Order'!H:H,"PSB",'List Order'!I:I,"Connectivity")</f>
        <v>3704000</v>
      </c>
      <c r="BJ9" s="3">
        <f>COUNTIFS('List Order'!C:C,"2025",'List Order'!B:B,"Agustus",'List Order'!H:H,"PSB",'List Order'!I:I,"Connectivity")</f>
        <v>7</v>
      </c>
      <c r="BK9" s="15">
        <f>SUMIFS('List Order'!T:T,'List Order'!C:C,"2025",'List Order'!B:B,"Agustus",'List Order'!H:H,"PSB",'List Order'!I:I,"Connectivity")</f>
        <v>2059000</v>
      </c>
      <c r="BL9" s="3">
        <f>COUNTIFS('List Order'!C:C,"2025",'List Order'!B:B,"September",'List Order'!H:H,"PSB",'List Order'!I:I,"Connectivity")</f>
        <v>10</v>
      </c>
      <c r="BM9" s="15">
        <f>SUMIFS('List Order'!T:T,'List Order'!C:C,"2025",'List Order'!B:B,"September",'List Order'!H:H,"PSB",'List Order'!I:I,"Connectivity")</f>
        <v>9116400</v>
      </c>
      <c r="BN9" s="3">
        <f>COUNTIFS('List Order'!C:C,"2025",'List Order'!B:B,"Oktober",'List Order'!H:H,"PSB",'List Order'!I:I,"Connectivity")</f>
        <v>7</v>
      </c>
      <c r="BO9" s="15">
        <f>SUMIFS('List Order'!T:T,'List Order'!C:C,"2025",'List Order'!B:B,"Oktober",'List Order'!H:H,"PSB",'List Order'!I:I,"Connectivity")</f>
        <v>0</v>
      </c>
      <c r="BP9" s="3">
        <f>COUNTIFS('List Order'!C:C,"2025",'List Order'!B:B,"November",'List Order'!H:H,"PSB",'List Order'!I:I,"Connectivity")</f>
        <v>10</v>
      </c>
      <c r="BQ9" s="15">
        <f>SUMIFS('List Order'!T:T,'List Order'!C:C,"2025",'List Order'!B:B,"November",'List Order'!H:H,"PSB",'List Order'!I:I,"Connectivity")</f>
        <v>0</v>
      </c>
      <c r="BR9" s="3">
        <f>COUNTIFS('List Order'!C:C,"2025",'List Order'!B:B,"Desember",'List Order'!H:H,"PSB",'List Order'!I:I,"Connectivity")</f>
        <v>4</v>
      </c>
      <c r="BS9" s="15">
        <f>SUMIFS('List Order'!T:T,'List Order'!C:C,"2025",'List Order'!B:B,"Desember",'List Order'!H:H,"PSB",'List Order'!I:I,"Connectivity")</f>
        <v>0</v>
      </c>
    </row>
    <row r="10" spans="2:71" ht="15" customHeight="1">
      <c r="B10" s="29"/>
      <c r="C10" s="37"/>
      <c r="D10" s="37"/>
      <c r="E10" s="37"/>
      <c r="F10" s="37"/>
      <c r="G10" s="37"/>
      <c r="H10" s="37"/>
      <c r="I10" s="30"/>
      <c r="AU10" s="1" t="s">
        <v>1135</v>
      </c>
      <c r="AV10" s="3">
        <f>COUNTIFS('List Order'!C:C,"2025",'List Order'!B:B,"Januari",'List Order'!H:H,"Upgrade",'List Order'!I:I,"Connectivity")</f>
        <v>1</v>
      </c>
      <c r="AW10" s="15">
        <f>SUMIFS('List Order'!T:T,'List Order'!C:C,"2025",'List Order'!B:B,"Januari",'List Order'!H:H,"Upgrade",'List Order'!I:I,"Connectivity")</f>
        <v>17673000</v>
      </c>
      <c r="AX10" s="3">
        <f>COUNTIFS('List Order'!C:C,"2025",'List Order'!B:B,"Februari",'List Order'!H:H,"Upgrade",'List Order'!I:I,"Connectivity")</f>
        <v>6</v>
      </c>
      <c r="AY10" s="15">
        <f>SUMIFS('List Order'!T:T,'List Order'!C:C,"2025",'List Order'!B:B,"Februari",'List Order'!H:H,"Upgrade",'List Order'!I:I,"Connectivity")</f>
        <v>25209900</v>
      </c>
      <c r="AZ10" s="3">
        <f>COUNTIFS('List Order'!C:C,"2025",'List Order'!B:B,"Maret",'List Order'!H:H,"Upgrade",'List Order'!I:I,"Connectivity")</f>
        <v>3</v>
      </c>
      <c r="BA10" s="15">
        <f>SUMIFS('List Order'!T:T,'List Order'!C:C,"2025",'List Order'!B:B,"Maret",'List Order'!H:H,"Upgrade",'List Order'!I:I,"Connectivity")</f>
        <v>0</v>
      </c>
      <c r="BB10" s="3">
        <f>COUNTIFS('List Order'!C:C,"2025",'List Order'!B:B,"April",'List Order'!H:H,"Upgrade",'List Order'!I:I,"Connectivity")</f>
        <v>9</v>
      </c>
      <c r="BC10" s="15">
        <f>SUMIFS('List Order'!T:T,'List Order'!C:C,"2025",'List Order'!B:B,"April",'List Order'!H:H,"Upgrade",'List Order'!I:I,"Connectivity")</f>
        <v>112245866</v>
      </c>
      <c r="BD10" s="3">
        <f>COUNTIFS('List Order'!C:C,"2025",'List Order'!B:B,"Mei",'List Order'!H:H,"Upgrade",'List Order'!I:I,"Connectivity")</f>
        <v>3</v>
      </c>
      <c r="BE10" s="15">
        <f>SUMIFS('List Order'!T:T,'List Order'!C:C,"2025",'List Order'!B:B,"Mei",'List Order'!H:H,"Upgrade",'List Order'!I:I,"Connectivity")</f>
        <v>21648166</v>
      </c>
      <c r="BF10" s="3">
        <f>COUNTIFS('List Order'!C:C,"2025",'List Order'!B:B,"Juni",'List Order'!H:H,"Upgrade",'List Order'!I:I,"Connectivity")</f>
        <v>2</v>
      </c>
      <c r="BG10" s="15">
        <f>SUMIFS('List Order'!T:T,'List Order'!C:C,"2025",'List Order'!B:B,"Juni",'List Order'!H:H,"Upgrade",'List Order'!I:I,"Connectivity")</f>
        <v>2571000</v>
      </c>
      <c r="BH10" s="3">
        <f>COUNTIFS('List Order'!C:C,"2025",'List Order'!B:B,"Juli",'List Order'!H:H,"Upgrade",'List Order'!I:I,"Connectivity")</f>
        <v>0</v>
      </c>
      <c r="BI10" s="15">
        <f>SUMIFS('List Order'!T:T,'List Order'!C:C,"2025",'List Order'!B:B,"Juli",'List Order'!H:H,"Upgrade",'List Order'!I:I,"Connectivity")</f>
        <v>0</v>
      </c>
      <c r="BJ10" s="3">
        <f>COUNTIFS('List Order'!C:C,"2025",'List Order'!B:B,"Agustus",'List Order'!H:H,"Upgrade",'List Order'!I:I,"Connectivity")</f>
        <v>1</v>
      </c>
      <c r="BK10" s="15">
        <f>SUMIFS('List Order'!T:T,'List Order'!C:C,"2025",'List Order'!B:B,"Agustus",'List Order'!H:H,"Upgrade",'List Order'!I:I,"Connectivity")</f>
        <v>0</v>
      </c>
      <c r="BL10" s="3">
        <f>COUNTIFS('List Order'!C:C,"2025",'List Order'!B:B,"September",'List Order'!H:H,"Upgrade",'List Order'!I:I,"Connectivity")</f>
        <v>1</v>
      </c>
      <c r="BM10" s="15">
        <f>SUMIFS('List Order'!T:T,'List Order'!C:C,"2025",'List Order'!B:B,"September",'List Order'!H:H,"Upgrade",'List Order'!I:I,"Connectivity")</f>
        <v>0</v>
      </c>
      <c r="BN10" s="3">
        <f>COUNTIFS('List Order'!C:C,"2025",'List Order'!B:B,"Oktober",'List Order'!H:H,"Upgrade",'List Order'!I:I,"Connectivity")</f>
        <v>4</v>
      </c>
      <c r="BO10" s="15">
        <f>SUMIFS('List Order'!T:T,'List Order'!C:C,"2025",'List Order'!B:B,"Oktober",'List Order'!H:H,"Upgrade",'List Order'!I:I,"Connectivity")</f>
        <v>0</v>
      </c>
      <c r="BP10" s="3">
        <f>COUNTIFS('List Order'!C:C,"2025",'List Order'!B:B,"November",'List Order'!H:H,"Upgrade",'List Order'!I:I,"Connectivity")</f>
        <v>4</v>
      </c>
      <c r="BQ10" s="15">
        <f>SUMIFS('List Order'!T:T,'List Order'!C:C,"2025",'List Order'!B:B,"November",'List Order'!H:H,"Upgrade",'List Order'!I:I,"Connectivity")</f>
        <v>0</v>
      </c>
      <c r="BR10" s="3">
        <f>COUNTIFS('List Order'!C:C,"2025",'List Order'!B:B,"Desember",'List Order'!H:H,"Upgrade",'List Order'!I:I,"Connectivity")</f>
        <v>0</v>
      </c>
      <c r="BS10" s="15">
        <f>SUMIFS('List Order'!T:T,'List Order'!C:C,"2025",'List Order'!B:B,"Desember",'List Order'!H:H,"Upgrade",'List Order'!I:I,"Connectivity")</f>
        <v>0</v>
      </c>
    </row>
    <row r="11" spans="2:71" ht="15" customHeight="1">
      <c r="B11" s="29"/>
      <c r="C11" s="31"/>
      <c r="D11" s="31"/>
      <c r="E11" s="31"/>
      <c r="F11" s="31"/>
      <c r="G11" s="31"/>
      <c r="H11" s="31"/>
      <c r="I11" s="30"/>
      <c r="AE11" s="13"/>
      <c r="AF11" s="13" t="s">
        <v>23</v>
      </c>
      <c r="AG11" s="13" t="s">
        <v>96</v>
      </c>
      <c r="AH11" s="13" t="s">
        <v>144</v>
      </c>
      <c r="AI11" s="13" t="s">
        <v>183</v>
      </c>
      <c r="AJ11" s="13" t="s">
        <v>212</v>
      </c>
      <c r="AK11" s="13" t="s">
        <v>261</v>
      </c>
      <c r="AL11" s="13" t="s">
        <v>274</v>
      </c>
      <c r="AM11" s="13" t="s">
        <v>303</v>
      </c>
      <c r="AN11" s="13" t="s">
        <v>338</v>
      </c>
      <c r="AO11" s="13" t="s">
        <v>358</v>
      </c>
      <c r="AP11" s="13" t="s">
        <v>384</v>
      </c>
      <c r="AQ11" s="13" t="s">
        <v>408</v>
      </c>
      <c r="AU11" s="1" t="s">
        <v>1556</v>
      </c>
      <c r="AV11" s="3">
        <f>COUNTIFS('List Order'!C:C,"2025",'List Order'!B:B,"Januari",'List Order'!H:H,"Downgrade",'List Order'!I:I,"Connectivity")</f>
        <v>0</v>
      </c>
      <c r="AW11" s="15">
        <f>SUMIFS('List Order'!T:T,'List Order'!C:C,"2025",'List Order'!B:B,"Januari",'List Order'!H:H,"Downgrade",'List Order'!I:I,"Connectivity")</f>
        <v>0</v>
      </c>
      <c r="AX11" s="3">
        <f>COUNTIFS('List Order'!C:C,"2025",'List Order'!B:B,"Februari",'List Order'!H:H,"Downgrade",'List Order'!I:I,"Connectivity")</f>
        <v>3</v>
      </c>
      <c r="AY11" s="15">
        <f>SUMIFS('List Order'!T:T,'List Order'!C:C,"2025",'List Order'!B:B,"Februari",'List Order'!H:H,"Downgrade",'List Order'!I:I,"Connectivity")</f>
        <v>8935200</v>
      </c>
      <c r="AZ11" s="3">
        <f>COUNTIFS('List Order'!C:C,"2025",'List Order'!B:B,"Maret",'List Order'!H:H,"Downgrade",'List Order'!I:I,"Connectivity")</f>
        <v>0</v>
      </c>
      <c r="BA11" s="15">
        <f>SUMIFS('List Order'!T:T,'List Order'!C:C,"2025",'List Order'!B:B,"Maret",'List Order'!H:H,"Downgrade",'List Order'!I:I,"Connectivity")</f>
        <v>0</v>
      </c>
      <c r="BB11" s="3">
        <f>COUNTIFS('List Order'!C:C,"2025",'List Order'!B:B,"April",'List Order'!H:H,"Downgrade",'List Order'!I:I,"Connectivity")</f>
        <v>1</v>
      </c>
      <c r="BC11" s="15">
        <f>SUMIFS('List Order'!T:T,'List Order'!C:C,"2025",'List Order'!B:B,"April",'List Order'!H:H,"Downgrade",'List Order'!I:I,"Connectivity")</f>
        <v>1094400</v>
      </c>
      <c r="BD11" s="3">
        <f>COUNTIFS('List Order'!C:C,"2025",'List Order'!B:B,"Mei",'List Order'!H:H,"Downgrade",'List Order'!I:I,"Connectivity")</f>
        <v>1</v>
      </c>
      <c r="BE11" s="15">
        <f>SUMIFS('List Order'!T:T,'List Order'!C:C,"2025",'List Order'!B:B,"Mei",'List Order'!H:H,"Downgrade",'List Order'!I:I,"Connectivity")</f>
        <v>0</v>
      </c>
      <c r="BF11" s="3">
        <f>COUNTIFS('List Order'!C:C,"2025",'List Order'!B:B,"Juni",'List Order'!H:H,"Downgrade",'List Order'!I:I,"Connectivity")</f>
        <v>0</v>
      </c>
      <c r="BG11" s="15">
        <f>SUMIFS('List Order'!T:T,'List Order'!C:C,"2025",'List Order'!B:B,"Juni",'List Order'!H:H,"Downgrade",'List Order'!I:I,"Connectivity")</f>
        <v>0</v>
      </c>
      <c r="BH11" s="3">
        <f>COUNTIFS('List Order'!C:C,"2025",'List Order'!B:B,"Juli",'List Order'!H:H,"Downgrade",'List Order'!I:I,"Connectivity")</f>
        <v>0</v>
      </c>
      <c r="BI11" s="15">
        <f>SUMIFS('List Order'!T:T,'List Order'!C:C,"2025",'List Order'!B:B,"Juli",'List Order'!H:H,"Downgrade",'List Order'!I:I,"Connectivity")</f>
        <v>0</v>
      </c>
      <c r="BJ11" s="3">
        <f>COUNTIFS('List Order'!C:C,"2025",'List Order'!B:B,"Agustus",'List Order'!H:H,"Downgrade",'List Order'!I:I,"Connectivity")</f>
        <v>0</v>
      </c>
      <c r="BK11" s="15">
        <f>SUMIFS('List Order'!T:T,'List Order'!C:C,"2025",'List Order'!B:B,"Agustus",'List Order'!H:H,"Downgrade",'List Order'!I:I,"Connectivity")</f>
        <v>0</v>
      </c>
      <c r="BL11" s="3">
        <f>COUNTIFS('List Order'!C:C,"2025",'List Order'!B:B,"September",'List Order'!H:H,"Downgrade",'List Order'!I:I,"Connectivity")</f>
        <v>0</v>
      </c>
      <c r="BM11" s="15">
        <f>SUMIFS('List Order'!T:T,'List Order'!C:C,"2025",'List Order'!B:B,"September",'List Order'!H:H,"Downgrade",'List Order'!I:I,"Connectivity")</f>
        <v>0</v>
      </c>
      <c r="BN11" s="3">
        <f>COUNTIFS('List Order'!C:C,"2025",'List Order'!B:B,"Oktober",'List Order'!H:H,"Downgrade",'List Order'!I:I,"Connectivity")</f>
        <v>0</v>
      </c>
      <c r="BO11" s="15">
        <f>SUMIFS('List Order'!T:T,'List Order'!C:C,"2025",'List Order'!B:B,"Oktober",'List Order'!H:H,"Downgrade",'List Order'!I:I,"Connectivity")</f>
        <v>0</v>
      </c>
      <c r="BP11" s="3">
        <f>COUNTIFS('List Order'!C:C,"2025",'List Order'!B:B,"November",'List Order'!H:H,"Downgrade",'List Order'!I:I,"Connectivity")</f>
        <v>0</v>
      </c>
      <c r="BQ11" s="15">
        <f>SUMIFS('List Order'!T:T,'List Order'!C:C,"2025",'List Order'!B:B,"November",'List Order'!H:H,"Downgrade",'List Order'!I:I,"Connectivity")</f>
        <v>0</v>
      </c>
      <c r="BR11" s="3">
        <f>COUNTIFS('List Order'!C:C,"2025",'List Order'!B:B,"Desember",'List Order'!H:H,"Downgrade",'List Order'!I:I,"Connectivity")</f>
        <v>1</v>
      </c>
      <c r="BS11" s="15">
        <f>SUMIFS('List Order'!T:T,'List Order'!C:C,"2025",'List Order'!B:B,"Desember",'List Order'!H:H,"Downgrade",'List Order'!I:I,"Connectivity")</f>
        <v>0</v>
      </c>
    </row>
    <row r="12" spans="2:71" ht="15" customHeight="1">
      <c r="B12" s="29"/>
      <c r="C12" s="32"/>
      <c r="D12" s="33"/>
      <c r="E12" s="32"/>
      <c r="F12" s="33"/>
      <c r="G12" s="32"/>
      <c r="H12" s="33"/>
      <c r="I12" s="30"/>
      <c r="AE12" t="s">
        <v>3222</v>
      </c>
      <c r="AF12" s="18">
        <f>SUMIFS('List Project'!I:I,'List Project'!D:D,"Januari",'List Project'!C:C,"2025")</f>
        <v>55157828477</v>
      </c>
      <c r="AG12" s="18">
        <f>SUMIFS('List Project'!I:I,'List Project'!D:D,"Februari",'List Project'!C:C,"2025")</f>
        <v>13464557806</v>
      </c>
      <c r="AH12" s="18">
        <f>SUMIFS('List Project'!I:I,'List Project'!D:D,"Maret",'List Project'!C:C,"2025")</f>
        <v>12525655865</v>
      </c>
      <c r="AI12" s="18">
        <f>SUMIFS('List Project'!I:I,'List Project'!D:D,"April",'List Project'!C:C,"2025")</f>
        <v>4546519554</v>
      </c>
      <c r="AJ12" s="18">
        <f>SUMIFS('List Project'!I:I,'List Project'!D:D,"Mei",'List Project'!C:C,"2025")</f>
        <v>1492660000</v>
      </c>
      <c r="AK12" s="18">
        <f>SUMIFS('List Project'!I:I,'List Project'!D:D,"Juni",'List Project'!C:C,"2025")</f>
        <v>22674005152</v>
      </c>
      <c r="AL12" s="18">
        <f>SUMIFS('List Project'!I:I,'List Project'!D:D,"Juli",'List Project'!C:C,"2025")</f>
        <v>19665001612</v>
      </c>
      <c r="AM12" s="18">
        <f>SUMIFS('List Project'!I:I,'List Project'!D:D,"Agustus",'List Project'!C:C,"2025")</f>
        <v>22572928806</v>
      </c>
      <c r="AN12" s="18">
        <f>SUMIFS('List Project'!I:I,'List Project'!D:D,"September",'List Project'!C:C,"2025")</f>
        <v>126422284045.10001</v>
      </c>
      <c r="AO12" s="18">
        <f>SUMIFS('List Project'!I:I,'List Project'!D:D,"Oktober",'List Project'!C:C,"2025")</f>
        <v>269112773390.20001</v>
      </c>
      <c r="AP12" s="18">
        <f>SUMIFS('List Project'!I:I,'List Project'!D:D,"November",'List Project'!C:C,"2025")</f>
        <v>39966893707</v>
      </c>
      <c r="AQ12" s="18">
        <f>SUMIFS('List Project'!I:I,'List Project'!D:D,"Desember",'List Project'!C:C,"2025")</f>
        <v>972717736854</v>
      </c>
      <c r="AU12" s="4" t="s">
        <v>3229</v>
      </c>
      <c r="AV12" s="5">
        <f>COUNTIFS('List Order'!C:C,"2025",'List Order'!B:B,"Januari",'List Order'!H:H,"Dismantle",'List Order'!I:I,"Connectivity")</f>
        <v>3</v>
      </c>
      <c r="AW12" s="16">
        <f>SUMIFS('List Order'!T:T,'List Order'!C:C,"2025",'List Order'!B:B,"Januari",'List Order'!H:H,"Dismantle",'List Order'!I:I,"Connectivity")</f>
        <v>13323200</v>
      </c>
      <c r="AX12" s="5">
        <f>COUNTIFS('List Order'!C:C,"2025",'List Order'!B:B,"Februari",'List Order'!H:H,"Dismantle",'List Order'!I:I,"Connectivity")</f>
        <v>8</v>
      </c>
      <c r="AY12" s="16">
        <f>SUMIFS('List Order'!T:T,'List Order'!C:C,"2025",'List Order'!B:B,"Februari",'List Order'!H:H,"Dismantle",'List Order'!I:I,"Connectivity")</f>
        <v>16100000</v>
      </c>
      <c r="AZ12" s="5">
        <f>COUNTIFS('List Order'!C:C,"2025",'List Order'!B:B,"Maret",'List Order'!H:H,"Dismantle",'List Order'!I:I,"Connectivity")</f>
        <v>25</v>
      </c>
      <c r="BA12" s="16">
        <f>SUMIFS('List Order'!T:T,'List Order'!C:C,"2025",'List Order'!B:B,"Maret",'List Order'!H:H,"Dismantle",'List Order'!I:I,"Connectivity")</f>
        <v>126799950</v>
      </c>
      <c r="BB12" s="5">
        <f>COUNTIFS('List Order'!C:C,"2025",'List Order'!B:B,"April",'List Order'!H:H,"Dismantle",'List Order'!I:I,"Connectivity")</f>
        <v>5</v>
      </c>
      <c r="BC12" s="16">
        <f>SUMIFS('List Order'!T:T,'List Order'!C:C,"2025",'List Order'!B:B,"April",'List Order'!H:H,"Dismantle",'List Order'!I:I,"Connectivity")</f>
        <v>7100000</v>
      </c>
      <c r="BD12" s="5">
        <f>COUNTIFS('List Order'!C:C,"2025",'List Order'!B:B,"Mei",'List Order'!H:H,"Dismantle",'List Order'!I:I,"Connectivity")</f>
        <v>16</v>
      </c>
      <c r="BE12" s="16">
        <f>SUMIFS('List Order'!T:T,'List Order'!C:C,"2025",'List Order'!B:B,"Mei",'List Order'!H:H,"Dismantle",'List Order'!I:I,"Connectivity")</f>
        <v>90424000</v>
      </c>
      <c r="BF12" s="5">
        <f>COUNTIFS('List Order'!C:C,"2025",'List Order'!B:B,"Juni",'List Order'!H:H,"Dismantle",'List Order'!I:I,"Connectivity")</f>
        <v>5</v>
      </c>
      <c r="BG12" s="16">
        <f>SUMIFS('List Order'!T:T,'List Order'!C:C,"2025",'List Order'!B:B,"Juni",'List Order'!H:H,"Dismantle",'List Order'!I:I,"Connectivity")</f>
        <v>6480500</v>
      </c>
      <c r="BH12" s="5">
        <f>COUNTIFS('List Order'!C:C,"2025",'List Order'!B:B,"Juli",'List Order'!H:H,"Dismantle",'List Order'!I:I,"Connectivity")</f>
        <v>4</v>
      </c>
      <c r="BI12" s="16">
        <f>SUMIFS('List Order'!T:T,'List Order'!C:C,"2025",'List Order'!B:B,"Juli",'List Order'!H:H,"Dismantle",'List Order'!I:I,"Connectivity")</f>
        <v>0</v>
      </c>
      <c r="BJ12" s="5">
        <f>COUNTIFS('List Order'!C:C,"2025",'List Order'!B:B,"Agustus",'List Order'!H:H,"Dismantle",'List Order'!I:I,"Connectivity")</f>
        <v>3</v>
      </c>
      <c r="BK12" s="16">
        <f>SUMIFS('List Order'!T:T,'List Order'!C:C,"2025",'List Order'!B:B,"Agustus",'List Order'!H:H,"Dismantle",'List Order'!I:I,"Connectivity")</f>
        <v>9112000</v>
      </c>
      <c r="BL12" s="5">
        <f>COUNTIFS('List Order'!C:C,"2025",'List Order'!B:B,"September",'List Order'!H:H,"Dismantle",'List Order'!I:I,"Connectivity")</f>
        <v>2</v>
      </c>
      <c r="BM12" s="16">
        <f>SUMIFS('List Order'!T:T,'List Order'!C:C,"2025",'List Order'!B:B,"September",'List Order'!H:H,"Dismantle",'List Order'!I:I,"Connectivity")</f>
        <v>0</v>
      </c>
      <c r="BN12" s="5">
        <f>COUNTIFS('List Order'!C:C,"2025",'List Order'!B:B,"Oktober",'List Order'!H:H,"Dismantle",'List Order'!I:I,"Connectivity")</f>
        <v>6</v>
      </c>
      <c r="BO12" s="16">
        <f>SUMIFS('List Order'!T:T,'List Order'!C:C,"2025",'List Order'!B:B,"Oktober",'List Order'!H:H,"Dismantle",'List Order'!I:I,"Connectivity")</f>
        <v>0</v>
      </c>
      <c r="BP12" s="5">
        <f>COUNTIFS('List Order'!C:C,"2025",'List Order'!B:B,"November",'List Order'!H:H,"Dismantle",'List Order'!I:I,"Connectivity")</f>
        <v>9</v>
      </c>
      <c r="BQ12" s="16">
        <f>SUMIFS('List Order'!T:T,'List Order'!C:C,"2025",'List Order'!B:B,"November",'List Order'!H:H,"Dismantle",'List Order'!I:I,"Connectivity")</f>
        <v>0</v>
      </c>
      <c r="BR12" s="5">
        <f>COUNTIFS('List Order'!C:C,"2025",'List Order'!B:B,"Desember",'List Order'!H:H,"Dismantle",'List Order'!I:I,"Connectivity")</f>
        <v>12</v>
      </c>
      <c r="BS12" s="16">
        <f>SUMIFS('List Order'!T:T,'List Order'!C:C,"2025",'List Order'!B:B,"Desember",'List Order'!H:H,"Dismantle",'List Order'!I:I,"Connectivity")</f>
        <v>0</v>
      </c>
    </row>
    <row r="13" spans="2:71" ht="15" customHeight="1">
      <c r="B13" s="29"/>
      <c r="C13" s="29"/>
      <c r="D13" s="29"/>
      <c r="E13" s="29"/>
      <c r="F13" s="30"/>
      <c r="G13" s="30"/>
      <c r="H13" s="30"/>
      <c r="I13" s="30"/>
      <c r="AE13" t="s">
        <v>25</v>
      </c>
      <c r="AF13">
        <f>COUNTIFS('List Project'!C:C,"2025",'List Project'!D:D,"Januari",'List Project'!F:F,"CRM")</f>
        <v>11</v>
      </c>
      <c r="AG13">
        <f>COUNTIFS('List Project'!C:C,"2025",'List Project'!D:D,"Februari",'List Project'!F:F,"CRM")</f>
        <v>5</v>
      </c>
      <c r="AH13">
        <f>COUNTIFS('List Project'!C:C,"2025",'List Project'!D:D,"Maret",'List Project'!F:F,"CRM")</f>
        <v>6</v>
      </c>
      <c r="AI13">
        <f>COUNTIFS('List Project'!C:C,"2025",'List Project'!D:D,"April",'List Project'!F:F,"CRM")</f>
        <v>6</v>
      </c>
      <c r="AJ13">
        <f>COUNTIFS('List Project'!C:C,"2025",'List Project'!D:D,"Mei",'List Project'!F:F,"CRM")</f>
        <v>2</v>
      </c>
      <c r="AK13">
        <f>COUNTIFS('List Project'!C:C,"2025",'List Project'!D:D,"Juni",'List Project'!F:F,"CRM")</f>
        <v>5</v>
      </c>
      <c r="AL13">
        <f>COUNTIFS('List Project'!C:C,"2025",'List Project'!D:D,"Juli",'List Project'!F:F,"CRM")</f>
        <v>11</v>
      </c>
      <c r="AM13">
        <f>COUNTIFS('List Project'!C:C,"2025",'List Project'!D:D,"Agustus",'List Project'!F:F,"CRM")</f>
        <v>7</v>
      </c>
      <c r="AN13">
        <f>COUNTIFS('List Project'!C:C,"2025",'List Project'!D:D,"September",'List Project'!F:F,"CRM")</f>
        <v>5</v>
      </c>
      <c r="AO13">
        <f>COUNTIFS('List Project'!C:C,"2025",'List Project'!D:D,"Oktober",'List Project'!F:F,"CRM")</f>
        <v>10</v>
      </c>
      <c r="AP13">
        <f>COUNTIFS('List Project'!C:C,"2025",'List Project'!D:D,"November",'List Project'!F:F,"CRM")</f>
        <v>10</v>
      </c>
      <c r="AQ13">
        <f>COUNTIFS('List Project'!C:C,"2025",'List Project'!D:D,"Desember",'List Project'!F:F,"CRM")</f>
        <v>8</v>
      </c>
      <c r="AU13" s="10" t="s">
        <v>3233</v>
      </c>
      <c r="AV13" s="9">
        <f>COUNTIFS('List Order'!B:B,"Januari",'List Order'!I:I,"IPPBX",'List Order'!C:C,"2025")</f>
        <v>0</v>
      </c>
      <c r="AW13" s="14"/>
      <c r="AX13" s="9">
        <f>COUNTIFS('List Order'!B:B,"Februari",'List Order'!I:I,"IPPBX",'List Order'!C:C,"2025")</f>
        <v>0</v>
      </c>
      <c r="AY13" s="14"/>
      <c r="AZ13" s="9">
        <f>COUNTIFS('List Order'!B:B,"Maret",'List Order'!I:I,"IPPBX",'List Order'!C:C,"2025")</f>
        <v>1</v>
      </c>
      <c r="BA13" s="14"/>
      <c r="BB13" s="9">
        <f>COUNTIFS('List Order'!B:B,"April",'List Order'!I:I,"IPPBX",'List Order'!C:C,"2025")</f>
        <v>0</v>
      </c>
      <c r="BC13" s="14"/>
      <c r="BD13" s="9">
        <f>COUNTIFS('List Order'!B:B,"Mei",'List Order'!I:I,"IPPBX",'List Order'!C:C,"2025")</f>
        <v>1</v>
      </c>
      <c r="BE13" s="14"/>
      <c r="BF13" s="9">
        <f>COUNTIFS('List Order'!B:B,"Juni",'List Order'!I:I,"IPPBX",'List Order'!C:C,"2025")</f>
        <v>0</v>
      </c>
      <c r="BG13" s="14"/>
      <c r="BH13" s="9">
        <f>COUNTIFS('List Order'!B:B,"Juli",'List Order'!I:I,"IPPBX",'List Order'!C:C,"2025")</f>
        <v>1</v>
      </c>
      <c r="BI13" s="14"/>
      <c r="BJ13" s="9">
        <f>COUNTIFS('List Order'!B:B,"Agustus",'List Order'!I:I,"IPPBX",'List Order'!C:C,"2025")</f>
        <v>2</v>
      </c>
      <c r="BK13" s="14"/>
      <c r="BL13" s="9">
        <f>COUNTIFS('List Order'!B:B,"September",'List Order'!I:I,"IPPBX",'List Order'!C:C,"2025")</f>
        <v>0</v>
      </c>
      <c r="BM13" s="14"/>
      <c r="BN13" s="9">
        <f>COUNTIFS('List Order'!B:B,"Oktober",'List Order'!I:I,"IPPBX",'List Order'!C:C,"2025")</f>
        <v>2</v>
      </c>
      <c r="BO13" s="14"/>
      <c r="BP13" s="9">
        <f>COUNTIFS('List Order'!B:B,"November",'List Order'!I:I,"IPPBX",'List Order'!C:C,"2025")</f>
        <v>3</v>
      </c>
      <c r="BQ13" s="14"/>
      <c r="BR13" s="9">
        <f>COUNTIFS('List Order'!B:B,"Desember",'List Order'!I:I,"IPPBX",'List Order'!C:C,"2025")</f>
        <v>0</v>
      </c>
      <c r="BS13" s="14"/>
    </row>
    <row r="14" spans="2:71">
      <c r="AE14" t="s">
        <v>128</v>
      </c>
      <c r="AF14">
        <f>COUNTIFS('List Project'!C:C,"2025",'List Project'!D:D,"Januari",'List Project'!F:F,"SSO")</f>
        <v>0</v>
      </c>
      <c r="AG14">
        <f>COUNTIFS('List Project'!C:C,"2025",'List Project'!D:D,"Februari",'List Project'!F:F,"SSO")</f>
        <v>1</v>
      </c>
      <c r="AH14">
        <f>COUNTIFS('List Project'!C:C,"2025",'List Project'!D:D,"Maret",'List Project'!F:F,"SSO")</f>
        <v>0</v>
      </c>
      <c r="AI14">
        <f>COUNTIFS('List Project'!C:C,"2025",'List Project'!D:D,"April",'List Project'!F:F,"SSO")</f>
        <v>0</v>
      </c>
      <c r="AJ14">
        <f>COUNTIFS('List Project'!C:C,"2025",'List Project'!D:D,"Mei",'List Project'!F:F,"SSO")</f>
        <v>0</v>
      </c>
      <c r="AK14">
        <f>COUNTIFS('List Project'!C:C,"2025",'List Project'!D:D,"Juni",'List Project'!F:F,"SSO")</f>
        <v>0</v>
      </c>
      <c r="AL14">
        <f>COUNTIFS('List Project'!C:C,"2025",'List Project'!D:D,"Juli",'List Project'!F:F,"SSO")</f>
        <v>0</v>
      </c>
      <c r="AM14">
        <f>COUNTIFS('List Project'!C:C,"2025",'List Project'!D:D,"Agustus",'List Project'!F:F,"SSO")</f>
        <v>0</v>
      </c>
      <c r="AN14">
        <f>COUNTIFS('List Project'!C:C,"2025",'List Project'!D:D,"September",'List Project'!F:F,"SSO")</f>
        <v>0</v>
      </c>
      <c r="AO14">
        <f>COUNTIFS('List Project'!C:C,"2025",'List Project'!D:D,"Oktober",'List Project'!F:F,"SSO")</f>
        <v>0</v>
      </c>
      <c r="AP14">
        <f>COUNTIFS('List Project'!C:C,"2025",'List Project'!D:D,"November",'List Project'!F:F,"SSO")</f>
        <v>0</v>
      </c>
      <c r="AQ14">
        <f>COUNTIFS('List Project'!C:C,"2025",'List Project'!D:D,"Desember",'List Project'!F:F,"SSO")</f>
        <v>0</v>
      </c>
      <c r="AU14" s="1" t="s">
        <v>1633</v>
      </c>
      <c r="AV14" s="3">
        <f>COUNTIFS('List Order'!C:C,"2025",'List Order'!B:B,"Januari",'List Order'!H:H,"PSB",'List Order'!I:I,"IPPBX")</f>
        <v>0</v>
      </c>
      <c r="AW14" s="15">
        <f>SUMIFS('List Order'!T:T,'List Order'!C:C,"2025",'List Order'!B:B,"Januari",'List Order'!H:H,"PSB",'List Order'!I:I,"IPPBX")</f>
        <v>0</v>
      </c>
      <c r="AX14" s="3">
        <f>COUNTIFS('List Order'!C:C,"2025",'List Order'!B:B,"Februari",'List Order'!H:H,"PSB",'List Order'!I:I,"IPPBX")</f>
        <v>0</v>
      </c>
      <c r="AY14" s="15">
        <f>SUMIFS('List Order'!T:T,'List Order'!C:C,"2025",'List Order'!B:B,"Februari",'List Order'!H:H,"PSB",'List Order'!I:I,"IPPBX")</f>
        <v>0</v>
      </c>
      <c r="AZ14" s="3">
        <f>COUNTIFS('List Order'!C:C,"2025",'List Order'!B:B,"Maret",'List Order'!H:H,"PSB",'List Order'!I:I,"IPPBX")</f>
        <v>0</v>
      </c>
      <c r="BA14" s="15">
        <f>SUMIFS('List Order'!T:T,'List Order'!C:C,"2025",'List Order'!B:B,"Maret",'List Order'!H:H,"PSB",'List Order'!I:I,"IPPBX")</f>
        <v>0</v>
      </c>
      <c r="BB14" s="3">
        <f>COUNTIFS('List Order'!C:C,"2025",'List Order'!B:B,"April",'List Order'!H:H,"PSB",'List Order'!I:I,"IPPBX")</f>
        <v>0</v>
      </c>
      <c r="BC14" s="15">
        <f>SUMIFS('List Order'!T:T,'List Order'!C:C,"2025",'List Order'!B:B,"April",'List Order'!H:H,"PSB",'List Order'!I:I,"IPPBX")</f>
        <v>0</v>
      </c>
      <c r="BD14" s="3">
        <f>COUNTIFS('List Order'!C:C,"2025",'List Order'!B:B,"Mei",'List Order'!H:H,"PSB",'List Order'!I:I,"IPPBX")</f>
        <v>0</v>
      </c>
      <c r="BE14" s="15">
        <f>SUMIFS('List Order'!T:T,'List Order'!C:C,"2025",'List Order'!B:B,"Mei",'List Order'!H:H,"PSB",'List Order'!I:I,"IPPBX")</f>
        <v>0</v>
      </c>
      <c r="BF14" s="3">
        <f>COUNTIFS('List Order'!C:C,"2025",'List Order'!B:B,"Juni",'List Order'!H:H,"PSB",'List Order'!I:I,"IPPBX")</f>
        <v>0</v>
      </c>
      <c r="BG14" s="15">
        <f>SUMIFS('List Order'!T:T,'List Order'!C:C,"2025",'List Order'!B:B,"Juni",'List Order'!H:H,"PSB",'List Order'!I:I,"IPPBX")</f>
        <v>0</v>
      </c>
      <c r="BH14" s="3">
        <f>COUNTIFS('List Order'!C:C,"2025",'List Order'!B:B,"Juli",'List Order'!H:H,"PSB",'List Order'!I:I,"IPPBX")</f>
        <v>0</v>
      </c>
      <c r="BI14" s="15">
        <f>SUMIFS('List Order'!T:T,'List Order'!C:C,"2025",'List Order'!B:B,"Juli",'List Order'!H:H,"PSB",'List Order'!I:I,"IPPBX")</f>
        <v>0</v>
      </c>
      <c r="BJ14" s="3">
        <f>COUNTIFS('List Order'!C:C,"2025",'List Order'!B:B,"Agustus",'List Order'!H:H,"PSB",'List Order'!I:I,"IPPBX")</f>
        <v>0</v>
      </c>
      <c r="BK14" s="15">
        <f>SUMIFS('List Order'!T:T,'List Order'!C:C,"2025",'List Order'!B:B,"Agustus",'List Order'!H:H,"PSB",'List Order'!I:I,"IPPBX")</f>
        <v>0</v>
      </c>
      <c r="BL14" s="3">
        <f>COUNTIFS('List Order'!C:C,"2025",'List Order'!B:B,"September",'List Order'!H:H,"PSB",'List Order'!I:I,"IPPBX")</f>
        <v>0</v>
      </c>
      <c r="BM14" s="15">
        <f>SUMIFS('List Order'!T:T,'List Order'!C:C,"2025",'List Order'!B:B,"September",'List Order'!H:H,"PSB",'List Order'!I:I,"IPPBX")</f>
        <v>0</v>
      </c>
      <c r="BN14" s="3">
        <f>COUNTIFS('List Order'!C:C,"2025",'List Order'!B:B,"Oktober",'List Order'!H:H,"PSB",'List Order'!I:I,"IPPBX")</f>
        <v>0</v>
      </c>
      <c r="BO14" s="15">
        <f>SUMIFS('List Order'!T:T,'List Order'!C:C,"2025",'List Order'!B:B,"Oktober",'List Order'!H:H,"PSB",'List Order'!I:I,"IPPBX")</f>
        <v>0</v>
      </c>
      <c r="BP14" s="3">
        <f>COUNTIFS('List Order'!C:C,"2025",'List Order'!B:B,"November",'List Order'!H:H,"PSB",'List Order'!I:I,"IPPBX")</f>
        <v>0</v>
      </c>
      <c r="BQ14" s="15">
        <f>SUMIFS('List Order'!T:T,'List Order'!C:C,"2025",'List Order'!B:B,"November",'List Order'!H:H,"PSB",'List Order'!I:I,"IPPBX")</f>
        <v>0</v>
      </c>
      <c r="BR14" s="3">
        <f>COUNTIFS('List Order'!C:C,"2025",'List Order'!B:B,"Desember",'List Order'!H:H,"PSB",'List Order'!I:I,"IPPBX")</f>
        <v>0</v>
      </c>
      <c r="BS14" s="15">
        <f>SUMIFS('List Order'!T:T,'List Order'!C:C,"2025",'List Order'!B:B,"Desember",'List Order'!H:H,"PSB",'List Order'!I:I,"IPPBX")</f>
        <v>0</v>
      </c>
    </row>
    <row r="15" spans="2:71">
      <c r="C15" s="180"/>
      <c r="D15" s="180"/>
      <c r="E15" s="180"/>
      <c r="F15" s="180"/>
      <c r="G15" s="180"/>
      <c r="H15" s="180"/>
      <c r="AE15" t="s">
        <v>48</v>
      </c>
      <c r="AF15">
        <f>COUNTIFS('List Project'!C:C,"2025",'List Project'!D:D,"Januari",'List Project'!F:F,"Nomor Akses")</f>
        <v>9</v>
      </c>
      <c r="AG15">
        <f>COUNTIFS('List Project'!C:C,"2025",'List Project'!D:D,"Februari",'List Project'!F:F,"Nomor Akses")</f>
        <v>3</v>
      </c>
      <c r="AH15">
        <f>COUNTIFS('List Project'!C:C,"2025",'List Project'!D:D,"Maret",'List Project'!F:F,"Nomor Akses")</f>
        <v>0</v>
      </c>
      <c r="AI15">
        <f>COUNTIFS('List Project'!C:C,"2025",'List Project'!D:D,"April",'List Project'!F:F,"Nomor Akses")</f>
        <v>2</v>
      </c>
      <c r="AJ15">
        <f>COUNTIFS('List Project'!C:C,"2025",'List Project'!D:D,"Mei",'List Project'!F:F,"Nomor Akses")</f>
        <v>4</v>
      </c>
      <c r="AK15">
        <f>COUNTIFS('List Project'!C:C,"2025",'List Project'!D:D,"Juni",'List Project'!F:F,"Nomor Akses")</f>
        <v>2</v>
      </c>
      <c r="AL15">
        <f>COUNTIFS('List Project'!C:C,"2025",'List Project'!D:D,"Juli",'List Project'!F:F,"Nomor Akses")</f>
        <v>6</v>
      </c>
      <c r="AM15">
        <f>COUNTIFS('List Project'!C:C,"2025",'List Project'!D:D,"Agustus",'List Project'!F:F,"Nomor Akses")</f>
        <v>3</v>
      </c>
      <c r="AN15">
        <f>COUNTIFS('List Project'!C:C,"2025",'List Project'!D:D,"September",'List Project'!F:F,"Nomor Akses")</f>
        <v>3</v>
      </c>
      <c r="AO15">
        <f>COUNTIFS('List Project'!C:C,"2025",'List Project'!D:D,"Oktober",'List Project'!F:F,"Nomor Akses")</f>
        <v>2</v>
      </c>
      <c r="AP15">
        <f>COUNTIFS('List Project'!C:C,"2025",'List Project'!D:D,"November",'List Project'!F:F,"Nomor Akses")</f>
        <v>0</v>
      </c>
      <c r="AQ15">
        <f>COUNTIFS('List Project'!C:C,"2025",'List Project'!D:D,"Desember",'List Project'!F:F,"Nomor Akses")</f>
        <v>1</v>
      </c>
      <c r="AU15" s="1" t="s">
        <v>1135</v>
      </c>
      <c r="AV15" s="3">
        <f>COUNTIFS('List Order'!C:C,"2025",'List Order'!B:B,"Januari",'List Order'!H:H,"Upgrade",'List Order'!I:I,"IPPBX")</f>
        <v>0</v>
      </c>
      <c r="AW15" s="15">
        <f>SUMIFS('List Order'!T:T,'List Order'!C:C,"2025",'List Order'!B:B,"Januari",'List Order'!H:H,"Upgrade",'List Order'!I:I,"IPPBX")</f>
        <v>0</v>
      </c>
      <c r="AX15" s="3">
        <f>COUNTIFS('List Order'!C:C,"2025",'List Order'!B:B,"Februari",'List Order'!H:H,"Upgrade",'List Order'!I:I,"IPPBX")</f>
        <v>0</v>
      </c>
      <c r="AY15" s="15">
        <f>SUMIFS('List Order'!T:T,'List Order'!C:C,"2025",'List Order'!B:B,"Februari",'List Order'!H:H,"Upgrade",'List Order'!I:I,"IPPBX")</f>
        <v>0</v>
      </c>
      <c r="AZ15" s="3">
        <f>COUNTIFS('List Order'!C:C,"2025",'List Order'!B:B,"Maret",'List Order'!H:H,"Upgrade",'List Order'!I:I,"IPPBX")</f>
        <v>0</v>
      </c>
      <c r="BA15" s="15">
        <f>SUMIFS('List Order'!T:T,'List Order'!C:C,"2025",'List Order'!B:B,"Maret",'List Order'!H:H,"Upgrade",'List Order'!I:I,"IPPBX")</f>
        <v>0</v>
      </c>
      <c r="BB15" s="3">
        <f>COUNTIFS('List Order'!C:C,"2025",'List Order'!B:B,"April",'List Order'!H:H,"Upgrade",'List Order'!I:I,"IPPBX")</f>
        <v>0</v>
      </c>
      <c r="BC15" s="15">
        <f>SUMIFS('List Order'!T:T,'List Order'!C:C,"2025",'List Order'!B:B,"April",'List Order'!H:H,"Upgrade",'List Order'!I:I,"IPPBX")</f>
        <v>0</v>
      </c>
      <c r="BD15" s="3">
        <f>COUNTIFS('List Order'!C:C,"2025",'List Order'!B:B,"Mei",'List Order'!H:H,"Upgrade",'List Order'!I:I,"IPPBX")</f>
        <v>0</v>
      </c>
      <c r="BE15" s="15">
        <f>SUMIFS('List Order'!T:T,'List Order'!C:C,"2025",'List Order'!B:B,"Mei",'List Order'!H:H,"Upgrade",'List Order'!I:I,"IPPBX")</f>
        <v>0</v>
      </c>
      <c r="BF15" s="3">
        <f>COUNTIFS('List Order'!C:C,"2025",'List Order'!B:B,"Juni",'List Order'!H:H,"Upgrade",'List Order'!I:I,"IPPBX")</f>
        <v>0</v>
      </c>
      <c r="BG15" s="15">
        <f>SUMIFS('List Order'!T:T,'List Order'!C:C,"2025",'List Order'!B:B,"Juni",'List Order'!H:H,"Upgrade",'List Order'!I:I,"IPPBX")</f>
        <v>0</v>
      </c>
      <c r="BH15" s="3">
        <f>COUNTIFS('List Order'!C:C,"2025",'List Order'!B:B,"Juli",'List Order'!H:H,"Upgrade",'List Order'!I:I,"IPPBX")</f>
        <v>0</v>
      </c>
      <c r="BI15" s="15">
        <f>SUMIFS('List Order'!T:T,'List Order'!C:C,"2025",'List Order'!B:B,"Juli",'List Order'!H:H,"Upgrade",'List Order'!I:I,"IPPBX")</f>
        <v>0</v>
      </c>
      <c r="BJ15" s="3">
        <f>COUNTIFS('List Order'!C:C,"2025",'List Order'!B:B,"Agustus",'List Order'!H:H,"Upgrade",'List Order'!I:I,"IPPBX")</f>
        <v>0</v>
      </c>
      <c r="BK15" s="15">
        <f>SUMIFS('List Order'!T:T,'List Order'!C:C,"2025",'List Order'!B:B,"Agustus",'List Order'!H:H,"Upgrade",'List Order'!I:I,"IPPBX")</f>
        <v>0</v>
      </c>
      <c r="BL15" s="3">
        <f>COUNTIFS('List Order'!C:C,"2025",'List Order'!B:B,"September",'List Order'!H:H,"Upgrade",'List Order'!I:I,"IPPBX")</f>
        <v>0</v>
      </c>
      <c r="BM15" s="15">
        <f>SUMIFS('List Order'!T:T,'List Order'!C:C,"2025",'List Order'!B:B,"September",'List Order'!H:H,"Upgrade",'List Order'!I:I,"IPPBX")</f>
        <v>0</v>
      </c>
      <c r="BN15" s="3">
        <f>COUNTIFS('List Order'!C:C,"2025",'List Order'!B:B,"Oktober",'List Order'!H:H,"Upgrade",'List Order'!I:I,"IPPBX")</f>
        <v>0</v>
      </c>
      <c r="BO15" s="15">
        <f>SUMIFS('List Order'!T:T,'List Order'!C:C,"2025",'List Order'!B:B,"Oktober",'List Order'!H:H,"Upgrade",'List Order'!I:I,"IPPBX")</f>
        <v>0</v>
      </c>
      <c r="BP15" s="3">
        <f>COUNTIFS('List Order'!C:C,"2025",'List Order'!B:B,"November",'List Order'!H:H,"Upgrade",'List Order'!I:I,"IPPBX")</f>
        <v>0</v>
      </c>
      <c r="BQ15" s="15">
        <f>SUMIFS('List Order'!T:T,'List Order'!C:C,"2025",'List Order'!B:B,"November",'List Order'!H:H,"Upgrade",'List Order'!I:I,"IPPBX")</f>
        <v>0</v>
      </c>
      <c r="BR15" s="3">
        <f>COUNTIFS('List Order'!C:C,"2025",'List Order'!B:B,"Desember",'List Order'!H:H,"Upgrade",'List Order'!I:I,"IPPBX")</f>
        <v>0</v>
      </c>
      <c r="BS15" s="15">
        <f>SUMIFS('List Order'!T:T,'List Order'!C:C,"2025",'List Order'!B:B,"Desember",'List Order'!H:H,"Upgrade",'List Order'!I:I,"IPPBX")</f>
        <v>0</v>
      </c>
    </row>
    <row r="16" spans="2:71">
      <c r="C16" s="180"/>
      <c r="D16" s="180"/>
      <c r="E16" s="180"/>
      <c r="F16" s="180"/>
      <c r="G16" s="180"/>
      <c r="H16" s="180"/>
      <c r="AU16" s="1" t="s">
        <v>1556</v>
      </c>
      <c r="AV16" s="3">
        <f>COUNTIFS('List Order'!C:C,"2025",'List Order'!B:B,"Januari",'List Order'!H:H,"Downgrade",'List Order'!I:I,"IPPBX")</f>
        <v>0</v>
      </c>
      <c r="AW16" s="15">
        <f>SUMIFS('List Order'!T:T,'List Order'!C:C,"2025",'List Order'!B:B,"Januari",'List Order'!H:H,"Downgrade",'List Order'!I:I,"IPPBX")</f>
        <v>0</v>
      </c>
      <c r="AX16" s="3">
        <f>COUNTIFS('List Order'!C:C,"2025",'List Order'!B:B,"Februari",'List Order'!H:H,"Downgrade",'List Order'!I:I,"IPPBX")</f>
        <v>0</v>
      </c>
      <c r="AY16" s="15">
        <f>SUMIFS('List Order'!T:T,'List Order'!C:C,"2025",'List Order'!B:B,"Februari",'List Order'!H:H,"Downgrade",'List Order'!I:I,"IPPBX")</f>
        <v>0</v>
      </c>
      <c r="AZ16" s="3">
        <f>COUNTIFS('List Order'!C:C,"2025",'List Order'!B:B,"Maret",'List Order'!H:H,"Downgrade",'List Order'!I:I,"IPPBX")</f>
        <v>0</v>
      </c>
      <c r="BA16" s="15">
        <f>SUMIFS('List Order'!T:T,'List Order'!C:C,"2025",'List Order'!B:B,"Maret",'List Order'!H:H,"Downgrade",'List Order'!I:I,"IPPBX")</f>
        <v>0</v>
      </c>
      <c r="BB16" s="3">
        <f>COUNTIFS('List Order'!C:C,"2025",'List Order'!B:B,"April",'List Order'!H:H,"Downgrade",'List Order'!I:I,"IPPBX")</f>
        <v>0</v>
      </c>
      <c r="BC16" s="15">
        <f>SUMIFS('List Order'!T:T,'List Order'!C:C,"2025",'List Order'!B:B,"April",'List Order'!H:H,"Downgrade",'List Order'!I:I,"IPPBX")</f>
        <v>0</v>
      </c>
      <c r="BD16" s="3">
        <f>COUNTIFS('List Order'!C:C,"2025",'List Order'!B:B,"Mei",'List Order'!H:H,"Downgrade",'List Order'!I:I,"IPPBX")</f>
        <v>0</v>
      </c>
      <c r="BE16" s="15">
        <f>SUMIFS('List Order'!T:T,'List Order'!C:C,"2025",'List Order'!B:B,"Mei",'List Order'!H:H,"Downgrade",'List Order'!I:I,"IPPBX")</f>
        <v>0</v>
      </c>
      <c r="BF16" s="3">
        <f>COUNTIFS('List Order'!C:C,"2025",'List Order'!B:B,"Juni",'List Order'!H:H,"Downgrade",'List Order'!I:I,"IPPBX")</f>
        <v>0</v>
      </c>
      <c r="BG16" s="15">
        <f>SUMIFS('List Order'!T:T,'List Order'!C:C,"2025",'List Order'!B:B,"Juni",'List Order'!H:H,"Downgrade",'List Order'!I:I,"IPPBX")</f>
        <v>0</v>
      </c>
      <c r="BH16" s="3">
        <f>COUNTIFS('List Order'!C:C,"2025",'List Order'!B:B,"Juli",'List Order'!H:H,"Downgrade",'List Order'!I:I,"IPPBX")</f>
        <v>0</v>
      </c>
      <c r="BI16" s="15">
        <f>SUMIFS('List Order'!T:T,'List Order'!C:C,"2025",'List Order'!B:B,"Juli",'List Order'!H:H,"Downgrade",'List Order'!I:I,"IPPBX")</f>
        <v>0</v>
      </c>
      <c r="BJ16" s="3">
        <f>COUNTIFS('List Order'!C:C,"2025",'List Order'!B:B,"Agustus",'List Order'!H:H,"Downgrade",'List Order'!I:I,"IPPBX")</f>
        <v>0</v>
      </c>
      <c r="BK16" s="15">
        <f>SUMIFS('List Order'!T:T,'List Order'!C:C,"2025",'List Order'!B:B,"Agustus",'List Order'!H:H,"Downgrade",'List Order'!I:I,"IPPBX")</f>
        <v>0</v>
      </c>
      <c r="BL16" s="3">
        <f>COUNTIFS('List Order'!C:C,"2025",'List Order'!B:B,"September",'List Order'!H:H,"Downgrade",'List Order'!I:I,"IPPBX")</f>
        <v>0</v>
      </c>
      <c r="BM16" s="15">
        <f>SUMIFS('List Order'!T:T,'List Order'!C:C,"2025",'List Order'!B:B,"September",'List Order'!H:H,"Downgrade",'List Order'!I:I,"IPPBX")</f>
        <v>0</v>
      </c>
      <c r="BN16" s="3">
        <f>COUNTIFS('List Order'!C:C,"2025",'List Order'!B:B,"Oktober",'List Order'!H:H,"Downgrade",'List Order'!I:I,"IPPBX")</f>
        <v>0</v>
      </c>
      <c r="BO16" s="15">
        <f>SUMIFS('List Order'!T:T,'List Order'!C:C,"2025",'List Order'!B:B,"Oktober",'List Order'!H:H,"Downgrade",'List Order'!I:I,"IPPBX")</f>
        <v>0</v>
      </c>
      <c r="BP16" s="3">
        <f>COUNTIFS('List Order'!C:C,"2025",'List Order'!B:B,"November",'List Order'!H:H,"Downgrade",'List Order'!I:I,"IPPBX")</f>
        <v>0</v>
      </c>
      <c r="BQ16" s="15">
        <f>SUMIFS('List Order'!T:T,'List Order'!C:C,"2025",'List Order'!B:B,"November",'List Order'!H:H,"Downgrade",'List Order'!I:I,"IPPBX")</f>
        <v>0</v>
      </c>
      <c r="BR16" s="3">
        <f>COUNTIFS('List Order'!C:C,"2025",'List Order'!B:B,"Desember",'List Order'!H:H,"Downgrade",'List Order'!I:I,"IPPBX")</f>
        <v>0</v>
      </c>
      <c r="BS16" s="15">
        <f>SUMIFS('List Order'!T:T,'List Order'!C:C,"2025",'List Order'!B:B,"Desember",'List Order'!H:H,"Downgrade",'List Order'!I:I,"IPPBX")</f>
        <v>0</v>
      </c>
    </row>
    <row r="17" spans="3:71" ht="18.75">
      <c r="C17" s="31"/>
      <c r="D17" s="31"/>
      <c r="E17" s="31"/>
      <c r="F17" s="31"/>
      <c r="G17" s="31"/>
      <c r="H17" s="31"/>
      <c r="AF17" s="13" t="s">
        <v>3221</v>
      </c>
      <c r="AG17" s="13" t="s">
        <v>32</v>
      </c>
      <c r="AH17" s="13" t="s">
        <v>460</v>
      </c>
      <c r="AI17" s="13" t="s">
        <v>3234</v>
      </c>
      <c r="AL17" t="s">
        <v>45</v>
      </c>
      <c r="AM17" t="s">
        <v>51</v>
      </c>
      <c r="AN17" t="s">
        <v>31</v>
      </c>
      <c r="AO17" t="s">
        <v>69</v>
      </c>
      <c r="AU17" s="4" t="s">
        <v>3229</v>
      </c>
      <c r="AV17" s="5">
        <f>COUNTIFS('List Order'!C:C,"2025",'List Order'!B:B,"Januari",'List Order'!H:H,"Dismantle",'List Order'!I:I,"IPPBX")</f>
        <v>0</v>
      </c>
      <c r="AW17" s="16">
        <f>SUMIFS('List Order'!T:T,'List Order'!C:C,"2025",'List Order'!B:B,"Januari",'List Order'!H:H,"Dismantle",'List Order'!I:I,"IPPBX")</f>
        <v>0</v>
      </c>
      <c r="AX17" s="5">
        <f>COUNTIFS('List Order'!C:C,"2025",'List Order'!B:B,"Februari",'List Order'!H:H,"Dismantle",'List Order'!I:I,"IPPBX")</f>
        <v>0</v>
      </c>
      <c r="AY17" s="16">
        <f>SUMIFS('List Order'!T:T,'List Order'!C:C,"2025",'List Order'!B:B,"Februari",'List Order'!H:H,"Dismantle",'List Order'!I:I,"IPPBX")</f>
        <v>0</v>
      </c>
      <c r="AZ17" s="5">
        <f>COUNTIFS('List Order'!C:C,"2025",'List Order'!B:B,"Maret",'List Order'!H:H,"Dismantle",'List Order'!I:I,"IPPBX")</f>
        <v>1</v>
      </c>
      <c r="BA17" s="16">
        <f>SUMIFS('List Order'!T:T,'List Order'!C:C,"2025",'List Order'!B:B,"Maret",'List Order'!H:H,"Dismantle",'List Order'!I:I,"IPPBX")</f>
        <v>9981375</v>
      </c>
      <c r="BB17" s="5">
        <f>COUNTIFS('List Order'!C:C,"2025",'List Order'!B:B,"April",'List Order'!H:H,"Dismantle",'List Order'!I:I,"IPPBX")</f>
        <v>0</v>
      </c>
      <c r="BC17" s="16">
        <f>SUMIFS('List Order'!T:T,'List Order'!C:C,"2025",'List Order'!B:B,"April",'List Order'!H:H,"Dismantle",'List Order'!I:I,"IPPBX")</f>
        <v>0</v>
      </c>
      <c r="BD17" s="5">
        <f>COUNTIFS('List Order'!C:C,"2025",'List Order'!B:B,"Mei",'List Order'!H:H,"Dismantle",'List Order'!I:I,"IPPBX")</f>
        <v>0</v>
      </c>
      <c r="BE17" s="16">
        <f>SUMIFS('List Order'!T:T,'List Order'!C:C,"2025",'List Order'!B:B,"Mei",'List Order'!H:H,"Dismantle",'List Order'!I:I,"IPPBX")</f>
        <v>0</v>
      </c>
      <c r="BF17" s="5">
        <f>COUNTIFS('List Order'!C:C,"2025",'List Order'!B:B,"Juni",'List Order'!H:H,"Dismantle",'List Order'!I:I,"IPPBX")</f>
        <v>0</v>
      </c>
      <c r="BG17" s="16">
        <f>SUMIFS('List Order'!T:T,'List Order'!C:C,"2025",'List Order'!B:B,"Juni",'List Order'!H:H,"Dismantle",'List Order'!I:I,"IPPBX")</f>
        <v>0</v>
      </c>
      <c r="BH17" s="5">
        <f>COUNTIFS('List Order'!C:C,"2025",'List Order'!B:B,"Juli",'List Order'!H:H,"Dismantle",'List Order'!I:I,"IPPBX")</f>
        <v>0</v>
      </c>
      <c r="BI17" s="16">
        <f>SUMIFS('List Order'!T:T,'List Order'!C:C,"2025",'List Order'!B:B,"Juli",'List Order'!H:H,"Dismantle",'List Order'!I:I,"IPPBX")</f>
        <v>0</v>
      </c>
      <c r="BJ17" s="5">
        <f>COUNTIFS('List Order'!C:C,"2025",'List Order'!B:B,"Agustus",'List Order'!H:H,"Dismantle",'List Order'!I:I,"IPPBX")</f>
        <v>1</v>
      </c>
      <c r="BK17" s="16">
        <f>SUMIFS('List Order'!T:T,'List Order'!C:C,"2025",'List Order'!B:B,"Agustus",'List Order'!H:H,"Dismantle",'List Order'!I:I,"IPPBX")</f>
        <v>0</v>
      </c>
      <c r="BL17" s="5">
        <f>COUNTIFS('List Order'!C:C,"2025",'List Order'!B:B,"September",'List Order'!H:H,"Dismantle",'List Order'!I:I,"IPPBX")</f>
        <v>0</v>
      </c>
      <c r="BM17" s="16">
        <f>SUMIFS('List Order'!T:T,'List Order'!C:C,"2025",'List Order'!B:B,"September",'List Order'!H:H,"Dismantle",'List Order'!I:I,"IPPBX")</f>
        <v>0</v>
      </c>
      <c r="BN17" s="5">
        <f>COUNTIFS('List Order'!C:C,"2025",'List Order'!B:B,"Oktober",'List Order'!H:H,"Dismantle",'List Order'!I:I,"IPPBX")</f>
        <v>0</v>
      </c>
      <c r="BO17" s="16">
        <f>SUMIFS('List Order'!T:T,'List Order'!C:C,"2025",'List Order'!B:B,"Oktober",'List Order'!H:H,"Dismantle",'List Order'!I:I,"IPPBX")</f>
        <v>0</v>
      </c>
      <c r="BP17" s="5">
        <f>COUNTIFS('List Order'!C:C,"2025",'List Order'!B:B,"November",'List Order'!H:H,"Dismantle",'List Order'!I:I,"IPPBX")</f>
        <v>2</v>
      </c>
      <c r="BQ17" s="16">
        <f>SUMIFS('List Order'!T:T,'List Order'!C:C,"2025",'List Order'!B:B,"November",'List Order'!H:H,"Dismantle",'List Order'!I:I,"IPPBX")</f>
        <v>0</v>
      </c>
      <c r="BR17" s="5">
        <f>COUNTIFS('List Order'!C:C,"2025",'List Order'!B:B,"Desember",'List Order'!H:H,"Dismantle",'List Order'!I:I,"IPPBX")</f>
        <v>0</v>
      </c>
      <c r="BS17" s="16">
        <f>SUMIFS('List Order'!T:T,'List Order'!C:C,"2025",'List Order'!B:B,"Desember",'List Order'!H:H,"Dismantle",'List Order'!I:I,"IPPBX")</f>
        <v>0</v>
      </c>
    </row>
    <row r="18" spans="3:71" ht="27.75">
      <c r="C18" s="32"/>
      <c r="D18" s="33"/>
      <c r="E18" s="32"/>
      <c r="F18" s="33"/>
      <c r="G18" s="32"/>
      <c r="H18" s="33"/>
      <c r="AE18" t="s">
        <v>45</v>
      </c>
      <c r="AF18" s="17">
        <f>SUM(AF3:AQ3)</f>
        <v>4</v>
      </c>
      <c r="AG18">
        <f>COUNTIFS('List Project'!C:C,"2025",'List Project'!P:P,"Done",'List Project'!O:O,"Adi")</f>
        <v>3</v>
      </c>
      <c r="AH18">
        <f>COUNTIFS('List Project'!C:C,"2025",'List Project'!P:P,"OGP",'List Project'!O:O,"Adi")</f>
        <v>1</v>
      </c>
      <c r="AI18" s="17">
        <f>SUMIFS('List Project'!I:I,'List Project'!O:O,"Adi",'List Project'!C:C,"2025")</f>
        <v>49261735490</v>
      </c>
      <c r="AK18" t="s">
        <v>3235</v>
      </c>
      <c r="AL18" s="17">
        <f>AF18</f>
        <v>4</v>
      </c>
      <c r="AM18" s="17">
        <f>AF19</f>
        <v>33</v>
      </c>
      <c r="AN18" s="17">
        <f>AF20</f>
        <v>53</v>
      </c>
      <c r="AO18" s="17">
        <f>AF21</f>
        <v>32</v>
      </c>
      <c r="AU18" s="11" t="s">
        <v>3236</v>
      </c>
      <c r="AV18" s="9">
        <f>COUNTIFS('List Order'!B:B,"Januari",'List Order'!I:I,"Colocation",'List Order'!C:C,"2025")</f>
        <v>0</v>
      </c>
      <c r="AW18" s="14"/>
      <c r="AX18" s="9">
        <f>COUNTIFS('List Order'!B:B,"Februari",'List Order'!I:I,"Colocation",'List Order'!C:C,"2025")</f>
        <v>0</v>
      </c>
      <c r="AY18" s="14"/>
      <c r="AZ18" s="9">
        <f>COUNTIFS('List Order'!B:B,"Maret",'List Order'!I:I,"Colocation",'List Order'!C:C,"2025")</f>
        <v>0</v>
      </c>
      <c r="BA18" s="14"/>
      <c r="BB18" s="9">
        <f>COUNTIFS('List Order'!B:B,"April",'List Order'!I:I,"Colocation",'List Order'!C:C,"2025")</f>
        <v>0</v>
      </c>
      <c r="BC18" s="14"/>
      <c r="BD18" s="9">
        <f>COUNTIFS('List Order'!B:B,"Mei",'List Order'!I:I,"Colocation",'List Order'!C:C,"2025")</f>
        <v>0</v>
      </c>
      <c r="BE18" s="14"/>
      <c r="BF18" s="9">
        <f>COUNTIFS('List Order'!B:B,"Juni",'List Order'!I:I,"Colocation",'List Order'!C:C,"2025")</f>
        <v>0</v>
      </c>
      <c r="BG18" s="14"/>
      <c r="BH18" s="9">
        <f>COUNTIFS('List Order'!B:B,"Juli",'List Order'!I:I,"Colocation",'List Order'!C:C,"2025")</f>
        <v>0</v>
      </c>
      <c r="BI18" s="14"/>
      <c r="BJ18" s="9">
        <f>COUNTIFS('List Order'!B:B,"Agustus",'List Order'!I:I,"Colocation",'List Order'!C:C,"2025")</f>
        <v>0</v>
      </c>
      <c r="BK18" s="14"/>
      <c r="BL18" s="9">
        <f>COUNTIFS('List Order'!B:B,"September",'List Order'!I:I,"Colocation",'List Order'!C:C,"2025")</f>
        <v>0</v>
      </c>
      <c r="BM18" s="14"/>
      <c r="BN18" s="9">
        <f>COUNTIFS('List Order'!B:B,"Oktober",'List Order'!I:I,"Colocation",'List Order'!C:C,"2025")</f>
        <v>1</v>
      </c>
      <c r="BO18" s="14"/>
      <c r="BP18" s="9">
        <f>COUNTIFS('List Order'!B:B,"November",'List Order'!I:I,"Colocation",'List Order'!C:C,"2025")</f>
        <v>1</v>
      </c>
      <c r="BQ18" s="14"/>
      <c r="BR18" s="9">
        <f>COUNTIFS('List Order'!B:B,"Desember",'List Order'!I:I,"Colocation",'List Order'!C:C,"2025")</f>
        <v>0</v>
      </c>
      <c r="BS18" s="14"/>
    </row>
    <row r="19" spans="3:71" ht="18.75">
      <c r="E19" s="181"/>
      <c r="F19" s="181"/>
      <c r="AE19" t="s">
        <v>51</v>
      </c>
      <c r="AF19" s="17">
        <f>SUM(AF4:AQ4)</f>
        <v>33</v>
      </c>
      <c r="AG19">
        <f>COUNTIFS('List Project'!C:C,"2025",'List Project'!P:P,"Done",'List Project'!O:O,"Dwi")</f>
        <v>28</v>
      </c>
      <c r="AH19">
        <f>COUNTIFS('List Project'!C:C,"2025",'List Project'!P:P,"OGP",'List Project'!O:O,"Dwi")</f>
        <v>5</v>
      </c>
      <c r="AI19" s="17">
        <f>SUMIFS('List Project'!I:I,'List Project'!O:O,"Dwi",'List Project'!C:C,"2025")</f>
        <v>68075095374</v>
      </c>
      <c r="AK19" t="s">
        <v>3237</v>
      </c>
      <c r="AL19">
        <f>AG18</f>
        <v>3</v>
      </c>
      <c r="AM19">
        <f>AG19</f>
        <v>28</v>
      </c>
      <c r="AN19">
        <f>AG20</f>
        <v>48</v>
      </c>
      <c r="AO19">
        <f>AG21</f>
        <v>25</v>
      </c>
      <c r="AU19" s="1" t="s">
        <v>1633</v>
      </c>
      <c r="AV19" s="3">
        <f>COUNTIFS('List Order'!C:C,"2025",'List Order'!B:B,"Januari",'List Order'!H:H,"PSB",'List Order'!I:I,"Colocation")</f>
        <v>0</v>
      </c>
      <c r="AW19" s="15">
        <f>SUMIFS('List Order'!T:T,'List Order'!C:C,"2025",'List Order'!B:B,"Januari",'List Order'!H:H,"PSB",'List Order'!I:I,"Colocation")</f>
        <v>0</v>
      </c>
      <c r="AX19" s="3">
        <f>COUNTIFS('List Order'!C:C,"2025",'List Order'!B:B,"Februari",'List Order'!H:H,"PSB",'List Order'!I:I,"Colocation")</f>
        <v>0</v>
      </c>
      <c r="AY19" s="15">
        <f>SUMIFS('List Order'!T:T,'List Order'!C:C,"2025",'List Order'!B:B,"Februari",'List Order'!H:H,"PSB",'List Order'!I:I,"Colocation")</f>
        <v>0</v>
      </c>
      <c r="AZ19" s="3">
        <f>COUNTIFS('List Order'!C:C,"2025",'List Order'!B:B,"Maret",'List Order'!H:H,"PSB",'List Order'!I:I,"Colocation")</f>
        <v>0</v>
      </c>
      <c r="BA19" s="15">
        <f>SUMIFS('List Order'!T:T,'List Order'!C:C,"2025",'List Order'!B:B,"Maret",'List Order'!H:H,"PSB",'List Order'!I:I,"Colocation")</f>
        <v>0</v>
      </c>
      <c r="BB19" s="3">
        <f>COUNTIFS('List Order'!C:C,"2025",'List Order'!B:B,"April",'List Order'!H:H,"PSB",'List Order'!I:I,"Colocation")</f>
        <v>0</v>
      </c>
      <c r="BC19" s="15">
        <f>SUMIFS('List Order'!T:T,'List Order'!C:C,"2025",'List Order'!B:B,"April",'List Order'!H:H,"PSB",'List Order'!I:I,"Colocation")</f>
        <v>0</v>
      </c>
      <c r="BD19" s="3">
        <f>COUNTIFS('List Order'!C:C,"2025",'List Order'!B:B,"Mei",'List Order'!H:H,"PSB",'List Order'!I:I,"Colocation")</f>
        <v>0</v>
      </c>
      <c r="BE19" s="15">
        <f>SUMIFS('List Order'!T:T,'List Order'!C:C,"2025",'List Order'!B:B,"Mei",'List Order'!H:H,"PSB",'List Order'!I:I,"Colocation")</f>
        <v>0</v>
      </c>
      <c r="BF19" s="3">
        <f>COUNTIFS('List Order'!C:C,"2025",'List Order'!B:B,"Juni",'List Order'!H:H,"PSB",'List Order'!I:I,"Colocation")</f>
        <v>0</v>
      </c>
      <c r="BG19" s="15">
        <f>SUMIFS('List Order'!T:T,'List Order'!C:C,"2025",'List Order'!B:B,"Juni",'List Order'!H:H,"PSB",'List Order'!I:I,"Colocation")</f>
        <v>0</v>
      </c>
      <c r="BH19" s="3">
        <f>COUNTIFS('List Order'!C:C,"2025",'List Order'!B:B,"Juli",'List Order'!H:H,"PSB",'List Order'!I:I,"Colocation")</f>
        <v>0</v>
      </c>
      <c r="BI19" s="15">
        <f>SUMIFS('List Order'!T:T,'List Order'!C:C,"2025",'List Order'!B:B,"Juli",'List Order'!H:H,"PSB",'List Order'!I:I,"Colocation")</f>
        <v>0</v>
      </c>
      <c r="BJ19" s="3">
        <f>COUNTIFS('List Order'!C:C,"2025",'List Order'!B:B,"Agustus",'List Order'!H:H,"PSB",'List Order'!I:I,"Colocation")</f>
        <v>0</v>
      </c>
      <c r="BK19" s="15">
        <f>SUMIFS('List Order'!T:T,'List Order'!C:C,"2025",'List Order'!B:B,"Agustus",'List Order'!H:H,"PSB",'List Order'!I:I,"Colocation")</f>
        <v>0</v>
      </c>
      <c r="BL19" s="3">
        <f>COUNTIFS('List Order'!C:C,"2025",'List Order'!B:B,"September",'List Order'!H:H,"PSB",'List Order'!I:I,"Colocation")</f>
        <v>0</v>
      </c>
      <c r="BM19" s="15">
        <f>SUMIFS('List Order'!T:T,'List Order'!C:C,"2025",'List Order'!B:B,"September",'List Order'!H:H,"PSB",'List Order'!I:I,"Colocation")</f>
        <v>0</v>
      </c>
      <c r="BN19" s="3">
        <f>COUNTIFS('List Order'!C:C,"2025",'List Order'!B:B,"Oktober",'List Order'!H:H,"PSB",'List Order'!I:I,"Colocation")</f>
        <v>0</v>
      </c>
      <c r="BO19" s="15">
        <f>SUMIFS('List Order'!T:T,'List Order'!C:C,"2025",'List Order'!B:B,"Oktober",'List Order'!H:H,"PSB",'List Order'!I:I,"Colocation")</f>
        <v>0</v>
      </c>
      <c r="BP19" s="3">
        <f>COUNTIFS('List Order'!C:C,"2025",'List Order'!B:B,"November",'List Order'!H:H,"PSB",'List Order'!I:I,"Colocation")</f>
        <v>0</v>
      </c>
      <c r="BQ19" s="15">
        <f>SUMIFS('List Order'!T:T,'List Order'!C:C,"2025",'List Order'!B:B,"November",'List Order'!H:H,"PSB",'List Order'!I:I,"Colocation")</f>
        <v>0</v>
      </c>
      <c r="BR19" s="3">
        <f>COUNTIFS('List Order'!C:C,"2025",'List Order'!B:B,"Desember",'List Order'!H:H,"PSB",'List Order'!I:I,"Colocation")</f>
        <v>0</v>
      </c>
      <c r="BS19" s="15">
        <f>SUMIFS('List Order'!T:T,'List Order'!C:C,"2025",'List Order'!B:B,"Desember",'List Order'!H:H,"PSB",'List Order'!I:I,"Colocation")</f>
        <v>0</v>
      </c>
    </row>
    <row r="20" spans="3:71">
      <c r="C20" s="182"/>
      <c r="D20" s="182"/>
      <c r="E20" s="182"/>
      <c r="F20" s="182"/>
      <c r="G20" s="182"/>
      <c r="H20" s="182"/>
      <c r="AE20" t="s">
        <v>31</v>
      </c>
      <c r="AF20" s="17">
        <f>SUM(AF5:AQ5)</f>
        <v>53</v>
      </c>
      <c r="AG20">
        <f>COUNTIFS('List Project'!C:C,"2025",'List Project'!P:P,"Done",'List Project'!O:O,"Duta")</f>
        <v>48</v>
      </c>
      <c r="AH20">
        <f>COUNTIFS('List Project'!C:C,"2025",'List Project'!P:P,"OGP",'List Project'!O:O,"Duta")</f>
        <v>4</v>
      </c>
      <c r="AI20" s="17">
        <f>SUMIFS('List Project'!I:I,'List Project'!O:O,"Duta",'List Project'!C:C,"2025")</f>
        <v>202839789975</v>
      </c>
      <c r="AK20" t="s">
        <v>3238</v>
      </c>
      <c r="AL20">
        <f>AH18</f>
        <v>1</v>
      </c>
      <c r="AM20">
        <f>AH19</f>
        <v>5</v>
      </c>
      <c r="AN20">
        <f>AH20</f>
        <v>4</v>
      </c>
      <c r="AO20">
        <f>AH21</f>
        <v>5</v>
      </c>
      <c r="AU20" s="4" t="s">
        <v>3229</v>
      </c>
      <c r="AV20" s="5">
        <f>COUNTIFS('List Order'!C:C,"2025",'List Order'!B:B,"Januari",'List Order'!H:H,"Dismantle",'List Order'!I:I,"Colocation")</f>
        <v>0</v>
      </c>
      <c r="AW20" s="16">
        <f>SUMIFS('List Order'!T:T,'List Order'!C:C,"2025",'List Order'!B:B,"Januari",'List Order'!H:H,"Dismantle",'List Order'!I:I,"Colocation")</f>
        <v>0</v>
      </c>
      <c r="AX20" s="5">
        <f>COUNTIFS('List Order'!C:C,"2025",'List Order'!B:B,"Februari",'List Order'!H:H,"Dismantle",'List Order'!I:I,"Colocation")</f>
        <v>0</v>
      </c>
      <c r="AY20" s="16">
        <f>SUMIFS('List Order'!T:T,'List Order'!C:C,"2025",'List Order'!B:B,"Februari",'List Order'!H:H,"Dismantle",'List Order'!I:I,"Colocation")</f>
        <v>0</v>
      </c>
      <c r="AZ20" s="5">
        <f>COUNTIFS('List Order'!C:C,"2025",'List Order'!B:B,"Maret",'List Order'!H:H,"Dismantle",'List Order'!I:I,"Colocation")</f>
        <v>0</v>
      </c>
      <c r="BA20" s="16">
        <f>SUMIFS('List Order'!T:T,'List Order'!C:C,"2025",'List Order'!B:B,"Maret",'List Order'!H:H,"Dismantle",'List Order'!I:I,"Colocation")</f>
        <v>0</v>
      </c>
      <c r="BB20" s="5">
        <f>COUNTIFS('List Order'!C:C,"2025",'List Order'!B:B,"April",'List Order'!H:H,"Dismantle",'List Order'!I:I,"Colocation")</f>
        <v>0</v>
      </c>
      <c r="BC20" s="16">
        <f>SUMIFS('List Order'!T:T,'List Order'!C:C,"2025",'List Order'!B:B,"April",'List Order'!H:H,"Dismantle",'List Order'!I:I,"Colocation")</f>
        <v>0</v>
      </c>
      <c r="BD20" s="5">
        <f>COUNTIFS('List Order'!C:C,"2025",'List Order'!B:B,"Mei",'List Order'!H:H,"Dismantle",'List Order'!I:I,"Colocation")</f>
        <v>0</v>
      </c>
      <c r="BE20" s="16">
        <f>SUMIFS('List Order'!T:T,'List Order'!C:C,"2025",'List Order'!B:B,"Mei",'List Order'!H:H,"Dismantle",'List Order'!I:I,"Colocation")</f>
        <v>0</v>
      </c>
      <c r="BF20" s="5">
        <f>COUNTIFS('List Order'!C:C,"2025",'List Order'!B:B,"Juni",'List Order'!H:H,"Dismantle",'List Order'!I:I,"Colocation")</f>
        <v>0</v>
      </c>
      <c r="BG20" s="16">
        <f>SUMIFS('List Order'!T:T,'List Order'!C:C,"2025",'List Order'!B:B,"Juni",'List Order'!H:H,"Dismantle",'List Order'!I:I,"Colocation")</f>
        <v>0</v>
      </c>
      <c r="BH20" s="5">
        <f>COUNTIFS('List Order'!C:C,"2025",'List Order'!B:B,"Juli",'List Order'!H:H,"Dismantle",'List Order'!I:I,"Colocation")</f>
        <v>0</v>
      </c>
      <c r="BI20" s="16">
        <f>SUMIFS('List Order'!T:T,'List Order'!C:C,"2025",'List Order'!B:B,"Juli",'List Order'!H:H,"Dismantle",'List Order'!I:I,"Colocation")</f>
        <v>0</v>
      </c>
      <c r="BJ20" s="5">
        <f>COUNTIFS('List Order'!C:C,"2025",'List Order'!B:B,"Agustus",'List Order'!H:H,"Dismantle",'List Order'!I:I,"Colocation")</f>
        <v>0</v>
      </c>
      <c r="BK20" s="16">
        <f>SUMIFS('List Order'!T:T,'List Order'!C:C,"2025",'List Order'!B:B,"Agustus",'List Order'!H:H,"Dismantle",'List Order'!I:I,"Colocation")</f>
        <v>0</v>
      </c>
      <c r="BL20" s="5">
        <f>COUNTIFS('List Order'!C:C,"2025",'List Order'!B:B,"September",'List Order'!H:H,"Dismantle",'List Order'!I:I,"Colocation")</f>
        <v>0</v>
      </c>
      <c r="BM20" s="16">
        <f>SUMIFS('List Order'!T:T,'List Order'!C:C,"2025",'List Order'!B:B,"September",'List Order'!H:H,"Dismantle",'List Order'!I:I,"Colocation")</f>
        <v>0</v>
      </c>
      <c r="BN20" s="5">
        <f>COUNTIFS('List Order'!C:C,"2025",'List Order'!B:B,"Oktober",'List Order'!H:H,"Dismantle",'List Order'!I:I,"Colocation")</f>
        <v>0</v>
      </c>
      <c r="BO20" s="16">
        <f>SUMIFS('List Order'!T:T,'List Order'!C:C,"2025",'List Order'!B:B,"Oktober",'List Order'!H:H,"Dismantle",'List Order'!I:I,"Colocation")</f>
        <v>0</v>
      </c>
      <c r="BP20" s="5">
        <f>COUNTIFS('List Order'!C:C,"2025",'List Order'!B:B,"November",'List Order'!H:H,"Dismantle",'List Order'!I:I,"Colocation")</f>
        <v>0</v>
      </c>
      <c r="BQ20" s="16">
        <f>SUMIFS('List Order'!T:T,'List Order'!C:C,"2025",'List Order'!B:B,"November",'List Order'!H:H,"Dismantle",'List Order'!I:I,"Colocation")</f>
        <v>0</v>
      </c>
      <c r="BR20" s="5">
        <f>COUNTIFS('List Order'!C:C,"2025",'List Order'!B:B,"Desember",'List Order'!H:H,"Dismantle",'List Order'!I:I,"Colocation")</f>
        <v>0</v>
      </c>
      <c r="BS20" s="16">
        <f>SUMIFS('List Order'!T:T,'List Order'!C:C,"2025",'List Order'!B:B,"Desember",'List Order'!H:H,"Dismantle",'List Order'!I:I,"Colocation")</f>
        <v>0</v>
      </c>
    </row>
    <row r="21" spans="3:71">
      <c r="C21" s="182"/>
      <c r="D21" s="182"/>
      <c r="E21" s="182"/>
      <c r="F21" s="182"/>
      <c r="G21" s="182"/>
      <c r="H21" s="182"/>
      <c r="AE21" t="s">
        <v>69</v>
      </c>
      <c r="AF21" s="17">
        <f>SUM(AF6:AQ6)</f>
        <v>32</v>
      </c>
      <c r="AG21">
        <f>COUNTIFS('List Project'!C:C,"2025",'List Project'!P:P,"Done",'List Project'!O:O,"Gugum")</f>
        <v>25</v>
      </c>
      <c r="AH21">
        <f>COUNTIFS('List Project'!C:C,"2025",'List Project'!P:P,"OGP",'List Project'!O:O,"Gugum")</f>
        <v>5</v>
      </c>
      <c r="AI21" s="17">
        <f>SUMIFS('List Project'!I:I,'List Project'!O:O,"Gugum",'List Project'!C:C,"2025")</f>
        <v>1240142224429.3</v>
      </c>
      <c r="AK21" t="s">
        <v>3234</v>
      </c>
      <c r="AL21" s="17">
        <f>AI18</f>
        <v>49261735490</v>
      </c>
      <c r="AM21" s="17">
        <f>AI19</f>
        <v>68075095374</v>
      </c>
      <c r="AN21" s="17">
        <f>AI20</f>
        <v>202839789975</v>
      </c>
      <c r="AO21" s="17">
        <f>AI21</f>
        <v>1240142224429.3</v>
      </c>
      <c r="AU21" s="8" t="s">
        <v>3239</v>
      </c>
      <c r="AV21" s="20">
        <f>AV18+AV13+AV8+AV3</f>
        <v>24</v>
      </c>
      <c r="AW21" s="14"/>
      <c r="AX21" s="20">
        <f>AX18+AX13+AX8+AX3</f>
        <v>38</v>
      </c>
      <c r="AY21" s="14"/>
      <c r="AZ21" s="20">
        <f>AZ18+AZ13+AZ8+AZ3</f>
        <v>39</v>
      </c>
      <c r="BA21" s="14"/>
      <c r="BB21" s="20">
        <f>BB18+BB13+BB8+BB3</f>
        <v>35</v>
      </c>
      <c r="BC21" s="14"/>
      <c r="BD21" s="20">
        <f>BD18+BD13+BD8+BD3</f>
        <v>37</v>
      </c>
      <c r="BE21" s="14"/>
      <c r="BF21" s="20">
        <f>BF18+BF13+BF8+BF3</f>
        <v>23</v>
      </c>
      <c r="BG21" s="14"/>
      <c r="BH21" s="20">
        <f>BH18+BH13+BH8+BH3</f>
        <v>33</v>
      </c>
      <c r="BI21" s="14"/>
      <c r="BJ21" s="20">
        <f>BJ18+BJ13+BJ8+BJ3</f>
        <v>26</v>
      </c>
      <c r="BK21" s="14"/>
      <c r="BL21" s="20">
        <f>BL18+BL13+BL8+BL3</f>
        <v>24</v>
      </c>
      <c r="BM21" s="14"/>
      <c r="BN21" s="20">
        <f>BN18+BN13+BN8+BN3</f>
        <v>37</v>
      </c>
      <c r="BO21" s="14"/>
      <c r="BP21" s="20">
        <f>BP18+BP13+BP8+BP3</f>
        <v>31</v>
      </c>
      <c r="BQ21" s="14"/>
      <c r="BR21" s="20">
        <f>BR18+BR13+BR8+BR3</f>
        <v>35</v>
      </c>
      <c r="BS21" s="14"/>
    </row>
    <row r="22" spans="3:71">
      <c r="AU22" s="22" t="s">
        <v>3240</v>
      </c>
      <c r="AV22" s="23">
        <f>COUNTIFS('List Order'!R:R,"Close",'List Order'!C:C,"2025",'List Order'!B:B,"Januari")</f>
        <v>10</v>
      </c>
      <c r="AW22" s="26"/>
      <c r="AX22" s="24">
        <f>COUNTIFS('List Order'!R:R,"Close",'List Order'!C:C,"2025",'List Order'!B:B,"Februari")</f>
        <v>8</v>
      </c>
      <c r="AY22" s="26"/>
      <c r="AZ22" s="24">
        <f>COUNTIFS('List Order'!R:R,"Close",'List Order'!C:C,"2025",'List Order'!B:B,"Maret")</f>
        <v>4</v>
      </c>
      <c r="BA22" s="26"/>
      <c r="BB22" s="24">
        <f>COUNTIFS('List Order'!R:R,"Close",'List Order'!C:C,"2025",'List Order'!B:B,"April")</f>
        <v>10</v>
      </c>
      <c r="BC22" s="26"/>
      <c r="BD22" s="24">
        <f>COUNTIFS('List Order'!R:R,"Close",'List Order'!C:C,"2025",'List Order'!B:B,"Mei")</f>
        <v>3</v>
      </c>
      <c r="BE22" s="26"/>
      <c r="BF22" s="24">
        <f>COUNTIFS('List Order'!R:R,"Close",'List Order'!C:C,"2025",'List Order'!B:B,"Juni")</f>
        <v>2</v>
      </c>
      <c r="BG22" s="26"/>
      <c r="BH22" s="24">
        <f>COUNTIFS('List Order'!R:R,"Close",'List Order'!C:C,"2025",'List Order'!B:B,"Juli")</f>
        <v>1</v>
      </c>
      <c r="BI22" s="26"/>
      <c r="BJ22" s="24">
        <f>COUNTIFS('List Order'!R:R,"Close",'List Order'!C:C,"2025",'List Order'!B:B,"Agustus")</f>
        <v>1</v>
      </c>
      <c r="BK22" s="26"/>
      <c r="BL22" s="24">
        <f>COUNTIFS('List Order'!R:R,"Close",'List Order'!C:C,"2025",'List Order'!B:B,"September")</f>
        <v>2</v>
      </c>
      <c r="BM22" s="26"/>
      <c r="BN22" s="24">
        <f>COUNTIFS('List Order'!R:R,"Close",'List Order'!C:C,"2025",'List Order'!B:B,"Oktober")</f>
        <v>0</v>
      </c>
      <c r="BO22" s="26"/>
      <c r="BP22" s="24">
        <f>COUNTIFS('List Order'!R:R,"Close",'List Order'!C:C,"2025",'List Order'!B:B,"November")</f>
        <v>0</v>
      </c>
      <c r="BQ22" s="26"/>
      <c r="BR22" s="24">
        <f>COUNTIFS('List Order'!R:R,"Close",'List Order'!C:C,"2025",'List Order'!B:B,"Desember")</f>
        <v>0</v>
      </c>
      <c r="BS22" s="26"/>
    </row>
    <row r="23" spans="3:71">
      <c r="AF23" s="13" t="s">
        <v>23</v>
      </c>
      <c r="AG23" s="13" t="s">
        <v>96</v>
      </c>
      <c r="AH23" s="13" t="s">
        <v>144</v>
      </c>
      <c r="AI23" s="13" t="s">
        <v>183</v>
      </c>
      <c r="AJ23" s="13" t="s">
        <v>212</v>
      </c>
      <c r="AK23" s="13" t="s">
        <v>261</v>
      </c>
      <c r="AL23" s="13" t="s">
        <v>274</v>
      </c>
      <c r="AM23" s="13" t="s">
        <v>303</v>
      </c>
      <c r="AN23" s="13" t="s">
        <v>338</v>
      </c>
      <c r="AO23" s="13" t="s">
        <v>358</v>
      </c>
      <c r="AP23" s="13" t="s">
        <v>384</v>
      </c>
      <c r="AQ23" s="13" t="s">
        <v>408</v>
      </c>
      <c r="AU23" s="1" t="s">
        <v>3241</v>
      </c>
      <c r="AV23" s="19">
        <f>COUNTIFS('List Order'!R:R,"Open",'List Order'!C:C,"2025",'List Order'!B:B,"Januari")</f>
        <v>14</v>
      </c>
      <c r="AW23" s="21"/>
      <c r="AX23" s="3">
        <f>COUNTIFS('List Order'!R:R,"Open",'List Order'!C:C,"2025",'List Order'!B:B,"Februari")</f>
        <v>20</v>
      </c>
      <c r="AY23" s="21"/>
      <c r="AZ23" s="3">
        <f>COUNTIFS('List Order'!R:R,"Open",'List Order'!C:C,"2025",'List Order'!B:B,"Maret")</f>
        <v>33</v>
      </c>
      <c r="BA23" s="21"/>
      <c r="BB23" s="3">
        <f>COUNTIFS('List Order'!R:R,"Open",'List Order'!C:C,"2025",'List Order'!B:B,"April")</f>
        <v>25</v>
      </c>
      <c r="BC23" s="21"/>
      <c r="BD23" s="3">
        <f>COUNTIFS('List Order'!R:R,"Open",'List Order'!C:C,"2025",'List Order'!B:B,"Mei")</f>
        <v>34</v>
      </c>
      <c r="BE23" s="21"/>
      <c r="BF23" s="3">
        <f>COUNTIFS('List Order'!R:R,"Open",'List Order'!C:C,"2025",'List Order'!B:B,"Juni")</f>
        <v>14</v>
      </c>
      <c r="BG23" s="21"/>
      <c r="BH23" s="3">
        <f>COUNTIFS('List Order'!R:R,"Open",'List Order'!C:C,"2025",'List Order'!B:B,"Juli")</f>
        <v>0</v>
      </c>
      <c r="BI23" s="21"/>
      <c r="BJ23" s="3">
        <f>COUNTIFS('List Order'!R:R,"Open",'List Order'!C:C,"2025",'List Order'!B:B,"Agustus")</f>
        <v>0</v>
      </c>
      <c r="BK23" s="21"/>
      <c r="BL23" s="3">
        <f>COUNTIFS('List Order'!R:R,"Open",'List Order'!C:C,"2025",'List Order'!B:B,"September")</f>
        <v>0</v>
      </c>
      <c r="BM23" s="21"/>
      <c r="BN23" s="3">
        <f>COUNTIFS('List Order'!R:R,"Open",'List Order'!C:C,"2025",'List Order'!B:B,"Oktober")</f>
        <v>0</v>
      </c>
      <c r="BO23" s="21"/>
      <c r="BP23" s="3">
        <f>COUNTIFS('List Order'!R:R,"Open",'List Order'!C:C,"2025",'List Order'!B:B,"November")</f>
        <v>0</v>
      </c>
      <c r="BQ23" s="21"/>
      <c r="BR23" s="3">
        <f>COUNTIFS('List Order'!R:R,"Open",'List Order'!C:C,"2025",'List Order'!B:B,"Desember")</f>
        <v>0</v>
      </c>
      <c r="BS23" s="21"/>
    </row>
    <row r="24" spans="3:71">
      <c r="AE24" t="s">
        <v>3242</v>
      </c>
      <c r="AF24" s="17">
        <f>AW4+AW5+AW6+AW9+AW10+AW14+AW15+AW19</f>
        <v>39284200</v>
      </c>
      <c r="AG24" s="17">
        <f>AY4+AY5+AY6+AY9+AY10+AY14+AY15+AY19</f>
        <v>66211700</v>
      </c>
      <c r="AH24" s="17">
        <f>BA4+BA5+BA6+BA9+BA10+BA14+BA15+BA19</f>
        <v>9729000</v>
      </c>
      <c r="AI24" s="17">
        <f>BC4+BC5+BC6+BC9+BC10+BC14+BC15+BC19</f>
        <v>132477866</v>
      </c>
      <c r="AJ24" s="17">
        <f>BE4+BE5+BE6+BE9+BE10+BE14+BE15+BE19</f>
        <v>44624166</v>
      </c>
      <c r="AK24" s="17">
        <f>BG4+BG5+BG6+BG9+BG10+BG14+BG15+BG19</f>
        <v>15474000</v>
      </c>
      <c r="AL24" s="17">
        <f>BI4+BI5+BI6+BI9+BI10+BI14+BI15+BI19</f>
        <v>23854000</v>
      </c>
      <c r="AM24" s="17">
        <f>BK4+BK5+BK6+BK9+BK10+BK14+BK15+BK19</f>
        <v>4959000</v>
      </c>
      <c r="AN24" s="17">
        <f>BM4+BM5+BM6+BM9+BM10+BM14+BM15+BM19</f>
        <v>17196400</v>
      </c>
      <c r="AO24" s="17">
        <f>BO4+BO5+BO6+BO9+BO10+BO14+BO15+BO19</f>
        <v>2320000</v>
      </c>
      <c r="AP24" s="17">
        <f>BQ4+BQ5+BQ6+BQ9+BQ10+BQ14+BQ15+BQ19</f>
        <v>0</v>
      </c>
      <c r="AQ24" s="17">
        <f>BS4+BS5+BS6+BS9+BS10+BS14+BS15+BS19</f>
        <v>0</v>
      </c>
    </row>
    <row r="25" spans="3:71">
      <c r="AE25" t="s">
        <v>3243</v>
      </c>
      <c r="AF25" s="17">
        <f>AW7+AW11+AW12+AW16+AW17+AW20</f>
        <v>17823200</v>
      </c>
      <c r="AG25" s="17">
        <f>AY7+AY11+AY12+AY16+AY17+AY20</f>
        <v>35195200</v>
      </c>
      <c r="AH25" s="17">
        <f>BA7+BA11+BA12+BA16+BA17+BA20</f>
        <v>141781325</v>
      </c>
      <c r="AI25" s="17">
        <f>BC7+BC11+BC12+BC16+BC17+BC20</f>
        <v>12194400</v>
      </c>
      <c r="AJ25" s="17">
        <f>BE7+BE11+BE12+BE16+BE17+BE20</f>
        <v>102924000</v>
      </c>
      <c r="AK25" s="17">
        <f>BG7+BG11+BG12+BG16+BG17+BG20</f>
        <v>10480500</v>
      </c>
      <c r="AL25" s="17">
        <f>BI7+BI11+BI12+BI16+BI17+BI20</f>
        <v>0</v>
      </c>
      <c r="AM25" s="17">
        <f>BK7+BK11+BK12+BK16+BK17+BK20</f>
        <v>14112000</v>
      </c>
      <c r="AN25" s="17">
        <f>BM7+BM11+BM12+BM16+BM17+BM20</f>
        <v>5000000</v>
      </c>
      <c r="AO25" s="17">
        <f>BO7+BO11+BO12+BO16+BO17+BO20</f>
        <v>2500000</v>
      </c>
      <c r="AP25" s="17">
        <f>BQ7+BQ11+BQ12+BQ16+BQ17+BQ20</f>
        <v>0</v>
      </c>
      <c r="AQ25" s="17">
        <f>BS7+BS11+BS12+BS16+BS17+BS20</f>
        <v>0</v>
      </c>
      <c r="AW25" s="17">
        <f>AW3+AW8</f>
        <v>39284200</v>
      </c>
      <c r="AY25" s="17">
        <f>AY3+AY8</f>
        <v>66211700</v>
      </c>
      <c r="BA25" s="17">
        <f>BA3+BA8</f>
        <v>9729000</v>
      </c>
      <c r="BC25" s="17">
        <f>BC3+BC8</f>
        <v>132477866</v>
      </c>
      <c r="BE25" s="17">
        <f>BE3+BE8</f>
        <v>44624166</v>
      </c>
      <c r="BG25" s="17">
        <f>BG3+BG8</f>
        <v>15474000</v>
      </c>
      <c r="BI25" s="17">
        <f>BI3+BI8</f>
        <v>23854000</v>
      </c>
    </row>
    <row r="26" spans="3:71">
      <c r="AE26" t="s">
        <v>3244</v>
      </c>
      <c r="AF26">
        <f>AV4+AV5+AV6+AV9+AV10+AV14+AV15+AV19</f>
        <v>18</v>
      </c>
      <c r="AG26">
        <f>AX4+AX5+AX6+AX9+AX10+AX14+AX15+AX19</f>
        <v>18</v>
      </c>
      <c r="AH26">
        <f>AZ4+AZ5+AZ6+AZ9+AZ10+AZ14+AZ15+AZ19</f>
        <v>10</v>
      </c>
      <c r="AI26">
        <f>BB4+BB5+BB6+BB9+BB10+BB14+BB15+BB19</f>
        <v>25</v>
      </c>
      <c r="AJ26">
        <f>BD4+BD5+BD6+BD9+BD10+BD14+BD15+BD19</f>
        <v>13</v>
      </c>
      <c r="AK26">
        <f>BF4+BF5+BF6+BF9+BF10+BF14+BF15+BF19</f>
        <v>16</v>
      </c>
      <c r="AL26">
        <f>BH4+BH5+BH6+BH9+BH10+BH14+BH15+BH19</f>
        <v>22</v>
      </c>
      <c r="AM26">
        <f>BJ4+BJ5+BJ6+BJ9+BJ10+BJ14+BJ15+BJ19</f>
        <v>15</v>
      </c>
      <c r="AN26">
        <f>BL4+BL5+BL6+BL9+BL10+BL14+BL15+BL19</f>
        <v>15</v>
      </c>
      <c r="AO26">
        <f>BN4+BN5+BN6+BN9+BN10+BN14+BN15+BN19</f>
        <v>19</v>
      </c>
      <c r="AP26">
        <f>BP4+BP5+BP6+BP9+BP10+BP14+BP15+BP19</f>
        <v>16</v>
      </c>
      <c r="AQ26">
        <f>BR4+BR5+BR6+BR9+BR10+BR14+BR15+BR19</f>
        <v>9</v>
      </c>
      <c r="AY26" s="17">
        <f>AW25+AY25</f>
        <v>105495900</v>
      </c>
      <c r="BA26" s="17">
        <f>AY26+BA25</f>
        <v>115224900</v>
      </c>
      <c r="BC26" s="17">
        <f>BA26+BC25</f>
        <v>247702766</v>
      </c>
      <c r="BE26" s="17">
        <f>BC26+BE25</f>
        <v>292326932</v>
      </c>
      <c r="BG26" s="17">
        <f>BE26+BG25</f>
        <v>307800932</v>
      </c>
    </row>
    <row r="27" spans="3:71">
      <c r="AE27" t="s">
        <v>3245</v>
      </c>
      <c r="AF27">
        <f>AV7+AV11+AV12+AV16+AV17+AV20</f>
        <v>6</v>
      </c>
      <c r="AG27">
        <f>AX7+AX11+AX12+AX16+AX17+AX20</f>
        <v>18</v>
      </c>
      <c r="AH27">
        <f>AZ7+AZ11+AZ12+AZ16+AZ17+AZ20</f>
        <v>28</v>
      </c>
      <c r="AI27">
        <f>BB7+BB11+BB12+BB16+BB17+BB20</f>
        <v>8</v>
      </c>
      <c r="AJ27">
        <f>BD7+BD11+BD12+BD16+BD17+BD20</f>
        <v>22</v>
      </c>
      <c r="AK27">
        <f>BF7+BF11+BF12+BF16+BF17+BF20</f>
        <v>7</v>
      </c>
      <c r="AL27">
        <f>BH7+BH11+BH12+BH16+BH17+BH20</f>
        <v>6</v>
      </c>
      <c r="AM27">
        <f>BJ7+BJ11+BJ12+BJ16+BJ17+BJ20</f>
        <v>7</v>
      </c>
      <c r="AN27">
        <f>BL7+BL11+BL12+BL16+BL17+BL20</f>
        <v>4</v>
      </c>
      <c r="AO27">
        <f>BN7+BN11+BN12+BN16+BN17+BN20</f>
        <v>10</v>
      </c>
      <c r="AP27">
        <f>BP7+BP11+BP12+BP16+BP17+BP20</f>
        <v>11</v>
      </c>
      <c r="AQ27">
        <f>BR7+BR11+BR12+BR16+BR17+BR20</f>
        <v>22</v>
      </c>
      <c r="AW27" s="35"/>
      <c r="AY27" s="17"/>
      <c r="BA27" s="17"/>
      <c r="BC27" s="17"/>
      <c r="BE27" s="17"/>
      <c r="BG27" s="17"/>
      <c r="BI27" s="17"/>
      <c r="BK27" s="17"/>
      <c r="BM27" s="17"/>
      <c r="BO27" s="17"/>
      <c r="BQ27" s="17"/>
      <c r="BS27" s="17"/>
    </row>
    <row r="28" spans="3:71">
      <c r="AW28" s="35"/>
      <c r="AY28" s="17"/>
      <c r="BA28" s="17"/>
      <c r="BC28" s="17"/>
      <c r="BE28" s="17"/>
      <c r="BG28" s="17"/>
      <c r="BI28" s="17"/>
      <c r="BK28" s="17"/>
      <c r="BM28" s="17"/>
      <c r="BO28" s="17"/>
      <c r="BQ28" s="17"/>
      <c r="BS28" s="17"/>
    </row>
    <row r="29" spans="3:71">
      <c r="AF29" s="13" t="s">
        <v>23</v>
      </c>
      <c r="AG29" s="13" t="s">
        <v>96</v>
      </c>
      <c r="AH29" s="13" t="s">
        <v>144</v>
      </c>
      <c r="AI29" s="13" t="s">
        <v>183</v>
      </c>
      <c r="AJ29" s="13" t="s">
        <v>212</v>
      </c>
      <c r="AK29" s="13" t="s">
        <v>261</v>
      </c>
      <c r="AL29" s="13" t="s">
        <v>274</v>
      </c>
      <c r="AM29" s="13" t="s">
        <v>303</v>
      </c>
      <c r="AN29" s="13" t="s">
        <v>338</v>
      </c>
      <c r="AO29" s="13" t="s">
        <v>358</v>
      </c>
      <c r="AP29" s="13" t="s">
        <v>384</v>
      </c>
      <c r="AQ29" s="13" t="s">
        <v>408</v>
      </c>
      <c r="AW29" s="35"/>
      <c r="AY29" s="17"/>
      <c r="BA29" s="17"/>
      <c r="BC29" s="17"/>
      <c r="BE29" s="17"/>
      <c r="BG29" s="17"/>
      <c r="BI29" s="17"/>
      <c r="BK29" s="17"/>
      <c r="BM29" s="17"/>
      <c r="BO29" s="17"/>
      <c r="BQ29" s="17"/>
      <c r="BS29" s="17"/>
    </row>
    <row r="30" spans="3:71">
      <c r="AE30" t="s">
        <v>3246</v>
      </c>
      <c r="AF30" s="17">
        <f>'Sum 2024'!AQ30+'Sum 2024'!AQ24-'Sum 2024'!AQ25</f>
        <v>3058255645</v>
      </c>
      <c r="AG30" s="17">
        <f>AF30+AF24-AF25</f>
        <v>3079716645</v>
      </c>
      <c r="AH30" s="17">
        <f>AG30+AG24-AG25</f>
        <v>3110733145</v>
      </c>
      <c r="AI30" s="17">
        <f t="shared" ref="AI30:AJ30" si="1">AH30+AH24-AH25</f>
        <v>2978680820</v>
      </c>
      <c r="AJ30" s="17">
        <f t="shared" si="1"/>
        <v>3098964286</v>
      </c>
      <c r="AK30" s="17">
        <f t="shared" ref="AK30" si="2">AJ30+AJ24-AJ25</f>
        <v>3040664452</v>
      </c>
      <c r="AL30" s="17">
        <f t="shared" ref="AL30" si="3">AK30+AK24-AK25</f>
        <v>3045657952</v>
      </c>
      <c r="AM30" s="17">
        <f t="shared" ref="AM30" si="4">AL30+AL24-AL25</f>
        <v>3069511952</v>
      </c>
      <c r="AN30" s="17">
        <f t="shared" ref="AN30" si="5">AM30+AM24-AM25</f>
        <v>3060358952</v>
      </c>
      <c r="AO30" s="17">
        <f t="shared" ref="AO30" si="6">AN30+AN24-AN25</f>
        <v>3072555352</v>
      </c>
      <c r="AP30" s="17">
        <f t="shared" ref="AP30" si="7">AO30+AO24-AO25</f>
        <v>3072375352</v>
      </c>
      <c r="AQ30" s="17">
        <f t="shared" ref="AQ30" si="8">AP30+AP24-AP25</f>
        <v>3072375352</v>
      </c>
      <c r="AW30" s="35"/>
      <c r="AY30" s="17"/>
      <c r="BA30" s="17"/>
      <c r="BC30" s="17"/>
      <c r="BE30" s="17"/>
      <c r="BG30" s="17"/>
      <c r="BI30" s="17"/>
      <c r="BK30" s="17"/>
      <c r="BM30" s="17"/>
      <c r="BO30" s="17"/>
      <c r="BQ30" s="17"/>
      <c r="BS30" s="17"/>
    </row>
    <row r="31" spans="3:71">
      <c r="AE31" t="s">
        <v>3247</v>
      </c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W31" s="35"/>
      <c r="AY31" s="17"/>
      <c r="BA31" s="17"/>
      <c r="BC31" s="17"/>
      <c r="BE31" s="17"/>
      <c r="BG31" s="17"/>
      <c r="BI31" s="17"/>
      <c r="BK31" s="17"/>
      <c r="BM31" s="17"/>
      <c r="BO31" s="17"/>
      <c r="BQ31" s="17"/>
      <c r="BS31" s="17"/>
    </row>
    <row r="32" spans="3:71">
      <c r="AE32" t="s">
        <v>3244</v>
      </c>
      <c r="AF32">
        <f>AF26</f>
        <v>18</v>
      </c>
      <c r="AG32">
        <f>AG26</f>
        <v>18</v>
      </c>
      <c r="AH32">
        <f t="shared" ref="AH32:AQ33" si="9">AH26</f>
        <v>10</v>
      </c>
      <c r="AI32">
        <f t="shared" si="9"/>
        <v>25</v>
      </c>
      <c r="AJ32">
        <f t="shared" si="9"/>
        <v>13</v>
      </c>
      <c r="AK32">
        <f t="shared" si="9"/>
        <v>16</v>
      </c>
      <c r="AL32">
        <f t="shared" si="9"/>
        <v>22</v>
      </c>
      <c r="AM32">
        <f t="shared" si="9"/>
        <v>15</v>
      </c>
      <c r="AN32">
        <f t="shared" si="9"/>
        <v>15</v>
      </c>
      <c r="AO32">
        <f t="shared" si="9"/>
        <v>19</v>
      </c>
      <c r="AP32">
        <f t="shared" si="9"/>
        <v>16</v>
      </c>
      <c r="AQ32">
        <f t="shared" si="9"/>
        <v>9</v>
      </c>
      <c r="AW32" s="35"/>
      <c r="AY32" s="17"/>
      <c r="BA32" s="17"/>
      <c r="BC32" s="17"/>
      <c r="BE32" s="17"/>
      <c r="BG32" s="17"/>
      <c r="BI32" s="17"/>
      <c r="BK32" s="17"/>
      <c r="BM32" s="17"/>
      <c r="BO32" s="17"/>
      <c r="BQ32" s="17"/>
      <c r="BS32" s="17"/>
    </row>
    <row r="33" spans="31:71">
      <c r="AE33" t="s">
        <v>3245</v>
      </c>
      <c r="AF33">
        <f>AF27</f>
        <v>6</v>
      </c>
      <c r="AG33">
        <f>AG27</f>
        <v>18</v>
      </c>
      <c r="AH33">
        <f t="shared" si="9"/>
        <v>28</v>
      </c>
      <c r="AI33">
        <f t="shared" si="9"/>
        <v>8</v>
      </c>
      <c r="AJ33">
        <f t="shared" si="9"/>
        <v>22</v>
      </c>
      <c r="AK33">
        <f t="shared" si="9"/>
        <v>7</v>
      </c>
      <c r="AL33">
        <f t="shared" si="9"/>
        <v>6</v>
      </c>
      <c r="AM33">
        <f t="shared" si="9"/>
        <v>7</v>
      </c>
      <c r="AN33">
        <f t="shared" si="9"/>
        <v>4</v>
      </c>
      <c r="AO33">
        <f t="shared" si="9"/>
        <v>10</v>
      </c>
      <c r="AP33">
        <f t="shared" si="9"/>
        <v>11</v>
      </c>
      <c r="AQ33">
        <f t="shared" si="9"/>
        <v>22</v>
      </c>
      <c r="AW33" s="35"/>
      <c r="AY33" s="17"/>
      <c r="BA33" s="17"/>
      <c r="BC33" s="17"/>
      <c r="BE33" s="17"/>
      <c r="BG33" s="17"/>
      <c r="BI33" s="17"/>
      <c r="BK33" s="17"/>
      <c r="BM33" s="17"/>
      <c r="BO33" s="17"/>
      <c r="BQ33" s="17"/>
      <c r="BS33" s="17"/>
    </row>
    <row r="34" spans="31:71">
      <c r="AW34" s="35"/>
      <c r="AY34" s="17"/>
      <c r="BA34" s="17"/>
      <c r="BC34" s="17"/>
      <c r="BE34" s="17"/>
      <c r="BG34" s="17"/>
      <c r="BI34" s="17"/>
      <c r="BK34" s="17"/>
      <c r="BM34" s="17"/>
      <c r="BO34" s="17"/>
      <c r="BQ34" s="17"/>
      <c r="BS34" s="17"/>
    </row>
    <row r="35" spans="31:71">
      <c r="AO35" t="s">
        <v>3248</v>
      </c>
      <c r="AW35" s="35"/>
      <c r="AY35" s="17"/>
      <c r="BA35" s="17"/>
      <c r="BC35" s="17"/>
      <c r="BE35" s="17"/>
      <c r="BG35" s="17"/>
      <c r="BI35" s="17"/>
      <c r="BK35" s="17"/>
      <c r="BM35" s="17"/>
      <c r="BO35" s="17"/>
      <c r="BQ35" s="17"/>
      <c r="BS35" s="17"/>
    </row>
    <row r="36" spans="31:71">
      <c r="AN36" t="s">
        <v>3249</v>
      </c>
      <c r="AO36">
        <f>COUNTIFS('List Order'!C:C,"2025",'List Order'!W:W,"file")</f>
        <v>38</v>
      </c>
      <c r="AW36" s="35"/>
      <c r="AY36" s="17"/>
      <c r="BA36" s="17"/>
      <c r="BC36" s="17"/>
      <c r="BE36" s="17"/>
      <c r="BG36" s="17"/>
      <c r="BI36" s="17"/>
      <c r="BK36" s="17"/>
      <c r="BM36" s="17"/>
      <c r="BO36" s="17"/>
      <c r="BQ36" s="17"/>
      <c r="BS36" s="17"/>
    </row>
    <row r="37" spans="31:71">
      <c r="AN37" t="s">
        <v>3250</v>
      </c>
      <c r="AO37">
        <f>COUNTIFS('List Order'!C:C,"2025",'List Order'!W:W,"")</f>
        <v>345</v>
      </c>
      <c r="AW37" s="35"/>
      <c r="AY37" s="17"/>
      <c r="BA37" s="17"/>
      <c r="BC37" s="17"/>
      <c r="BE37" s="17"/>
      <c r="BG37" s="17"/>
      <c r="BI37" s="17"/>
      <c r="BK37" s="17"/>
      <c r="BM37" s="17"/>
      <c r="BO37" s="17"/>
      <c r="BQ37" s="17"/>
      <c r="BS37" s="17"/>
    </row>
    <row r="38" spans="31:71">
      <c r="AW38" s="35"/>
      <c r="AY38" s="17"/>
      <c r="BA38" s="17"/>
      <c r="BC38" s="17"/>
      <c r="BE38" s="17"/>
      <c r="BG38" s="17"/>
      <c r="BI38" s="17"/>
      <c r="BK38" s="17"/>
      <c r="BM38" s="17"/>
      <c r="BO38" s="17"/>
      <c r="BQ38" s="17"/>
      <c r="BS38" s="17"/>
    </row>
    <row r="39" spans="31:71">
      <c r="AW39" s="35"/>
      <c r="AY39" s="17"/>
      <c r="BA39" s="17"/>
      <c r="BC39" s="17"/>
      <c r="BE39" s="17"/>
      <c r="BG39" s="17"/>
      <c r="BI39" s="17"/>
      <c r="BK39" s="17"/>
      <c r="BM39" s="17"/>
      <c r="BO39" s="17"/>
      <c r="BQ39" s="17"/>
      <c r="BS39" s="17"/>
    </row>
    <row r="40" spans="31:71">
      <c r="AW40" s="35"/>
      <c r="AY40" s="17"/>
      <c r="BA40" s="17"/>
      <c r="BC40" s="17"/>
      <c r="BE40" s="17"/>
      <c r="BG40" s="17"/>
      <c r="BI40" s="17"/>
      <c r="BK40" s="17"/>
      <c r="BM40" s="17"/>
      <c r="BO40" s="17"/>
      <c r="BQ40" s="17"/>
      <c r="BS40" s="17"/>
    </row>
    <row r="41" spans="31:71">
      <c r="AW41" s="35"/>
      <c r="AY41" s="17"/>
      <c r="BA41" s="17"/>
      <c r="BC41" s="17"/>
      <c r="BE41" s="17"/>
      <c r="BG41" s="17"/>
      <c r="BI41" s="17"/>
      <c r="BK41" s="17"/>
      <c r="BM41" s="17"/>
      <c r="BO41" s="17"/>
      <c r="BQ41" s="17"/>
      <c r="BS41" s="17"/>
    </row>
    <row r="42" spans="31:71">
      <c r="AW42" s="35"/>
      <c r="AY42" s="17"/>
      <c r="BA42" s="17"/>
      <c r="BC42" s="17"/>
      <c r="BE42" s="17"/>
      <c r="BG42" s="17"/>
      <c r="BI42" s="17"/>
      <c r="BK42" s="17"/>
      <c r="BM42" s="17"/>
      <c r="BO42" s="17"/>
      <c r="BQ42" s="17"/>
      <c r="BS42" s="17"/>
    </row>
    <row r="43" spans="31:71">
      <c r="AW43" s="35"/>
      <c r="AY43" s="17"/>
      <c r="BA43" s="17"/>
      <c r="BC43" s="17"/>
      <c r="BE43" s="17"/>
      <c r="BG43" s="17"/>
      <c r="BI43" s="17"/>
      <c r="BK43" s="17"/>
      <c r="BM43" s="17"/>
      <c r="BO43" s="17"/>
      <c r="BQ43" s="17"/>
      <c r="BS43" s="17"/>
    </row>
    <row r="44" spans="31:71">
      <c r="AW44" s="35"/>
      <c r="AY44" s="17"/>
      <c r="BA44" s="17"/>
      <c r="BC44" s="17"/>
      <c r="BE44" s="17"/>
      <c r="BG44" s="17"/>
      <c r="BI44" s="17"/>
      <c r="BK44" s="17"/>
      <c r="BM44" s="17"/>
      <c r="BO44" s="17"/>
      <c r="BQ44" s="17"/>
      <c r="BS44" s="17"/>
    </row>
    <row r="45" spans="31:71">
      <c r="AW45" s="35"/>
      <c r="AY45" s="17"/>
      <c r="BA45" s="17"/>
      <c r="BC45" s="17"/>
      <c r="BE45" s="17"/>
      <c r="BG45" s="17"/>
      <c r="BI45" s="17"/>
      <c r="BK45" s="17"/>
      <c r="BM45" s="17"/>
      <c r="BO45" s="17"/>
      <c r="BQ45" s="17"/>
      <c r="BS45" s="17"/>
    </row>
    <row r="46" spans="31:71">
      <c r="AW46" s="35"/>
      <c r="AY46" s="17"/>
      <c r="BA46" s="17"/>
      <c r="BC46" s="17"/>
      <c r="BE46" s="17"/>
      <c r="BG46" s="17"/>
      <c r="BI46" s="17"/>
      <c r="BK46" s="17"/>
      <c r="BM46" s="17"/>
      <c r="BO46" s="17"/>
      <c r="BQ46" s="17"/>
      <c r="BS46" s="17"/>
    </row>
    <row r="47" spans="31:71">
      <c r="AW47" s="35"/>
      <c r="AY47" s="17"/>
      <c r="BA47" s="17"/>
      <c r="BC47" s="17"/>
      <c r="BE47" s="17"/>
      <c r="BG47" s="17"/>
      <c r="BI47" s="17"/>
      <c r="BK47" s="17"/>
      <c r="BM47" s="17"/>
      <c r="BO47" s="17"/>
      <c r="BQ47" s="17"/>
      <c r="BS47" s="17"/>
    </row>
    <row r="50" spans="31:36">
      <c r="AF50" s="13"/>
      <c r="AG50" s="154" t="s">
        <v>16</v>
      </c>
      <c r="AH50" s="154" t="s">
        <v>17</v>
      </c>
      <c r="AI50" s="154" t="s">
        <v>18</v>
      </c>
      <c r="AJ50" s="154" t="s">
        <v>19</v>
      </c>
    </row>
    <row r="51" spans="31:36">
      <c r="AF51" t="s">
        <v>45</v>
      </c>
      <c r="AG51" s="103">
        <f>COUNTIFS('List Project'!C:C,"2025",'List Project'!P:P,"OGP",'List Project'!O:O,"Adi",'List Project'!Q:Q,"OGP")</f>
        <v>1</v>
      </c>
      <c r="AH51" s="103">
        <f>COUNTIFS('List Project'!C:C,"2025",'List Project'!P:P,"OGP",'List Project'!O:O,"Adi",'List Project'!R:R,"OGP")</f>
        <v>0</v>
      </c>
      <c r="AI51" s="103">
        <f>COUNTIFS('List Project'!C:C,"2025",'List Project'!P:P,"OGP",'List Project'!O:O,"Adi",'List Project'!S:S,"OGP")</f>
        <v>0</v>
      </c>
      <c r="AJ51" s="103">
        <f>COUNTIFS('List Project'!C:C,"2025",'List Project'!P:P,"OGP",'List Project'!O:O,"Adi",'List Project'!T:T,"OGP")</f>
        <v>0</v>
      </c>
    </row>
    <row r="52" spans="31:36">
      <c r="AF52" t="s">
        <v>51</v>
      </c>
      <c r="AG52" s="103">
        <f>COUNTIFS('List Project'!C:C,"2025",'List Project'!P:P,"OGP",'List Project'!O:O,"Dwi",'List Project'!Q:Q,"OGP")</f>
        <v>0</v>
      </c>
      <c r="AH52" s="103">
        <f>COUNTIFS('List Project'!C:C,"2025",'List Project'!P:P,"OGP",'List Project'!O:O,"Dwi",'List Project'!R:R,"OGP")</f>
        <v>0</v>
      </c>
      <c r="AI52" s="103">
        <f>COUNTIFS('List Project'!C:C,"2025",'List Project'!P:P,"OGP",'List Project'!O:O,"Dwi",'List Project'!S:S,"OGP")</f>
        <v>1</v>
      </c>
      <c r="AJ52" s="103">
        <f>COUNTIFS('List Project'!C:C,"2025",'List Project'!P:P,"OGP",'List Project'!O:O,"Dwi",'List Project'!T:T,"OGP")</f>
        <v>4</v>
      </c>
    </row>
    <row r="53" spans="31:36">
      <c r="AF53" t="s">
        <v>31</v>
      </c>
      <c r="AG53" s="103">
        <f>COUNTIFS('List Project'!C:C,"2025",'List Project'!P:P,"OGP",'List Project'!O:O,"Duta",'List Project'!Q:Q,"OGP")</f>
        <v>1</v>
      </c>
      <c r="AH53" s="103">
        <f>COUNTIFS('List Project'!C:C,"2025",'List Project'!P:P,"OGP",'List Project'!O:O,"Duta",'List Project'!R:R,"OGP")</f>
        <v>1</v>
      </c>
      <c r="AI53" s="103">
        <f>COUNTIFS('List Project'!C:C,"2025",'List Project'!P:P,"OGP",'List Project'!O:O,"Duta",'List Project'!S:S,"OGP")</f>
        <v>0</v>
      </c>
      <c r="AJ53" s="103">
        <f>COUNTIFS('List Project'!C:C,"2025",'List Project'!P:P,"OGP",'List Project'!O:O,"Duta",'List Project'!T:T,"OGP")</f>
        <v>2</v>
      </c>
    </row>
    <row r="54" spans="31:36">
      <c r="AF54" t="s">
        <v>69</v>
      </c>
      <c r="AG54" s="103">
        <f>COUNTIFS('List Project'!C:C,"2025",'List Project'!P:P,"OGP",'List Project'!O:O,"Gugum",'List Project'!Q:Q,"OGP")</f>
        <v>3</v>
      </c>
      <c r="AH54" s="103">
        <f>COUNTIFS('List Project'!C:C,"2025",'List Project'!P:P,"OGP",'List Project'!O:O,"Gugum",'List Project'!R:R,"OGP")</f>
        <v>0</v>
      </c>
      <c r="AI54" s="103">
        <f>COUNTIFS('List Project'!C:C,"2025",'List Project'!P:P,"OGP",'List Project'!O:O,"Gugum",'List Project'!S:S,"OGP")</f>
        <v>2</v>
      </c>
      <c r="AJ54" s="103">
        <f>COUNTIFS('List Project'!C:C,"2025",'List Project'!P:P,"OGP",'List Project'!O:O,"Gugum",'List Project'!T:T,"OGP")</f>
        <v>0</v>
      </c>
    </row>
    <row r="57" spans="31:36">
      <c r="AF57" t="s">
        <v>45</v>
      </c>
      <c r="AG57" t="s">
        <v>51</v>
      </c>
      <c r="AH57" t="s">
        <v>31</v>
      </c>
      <c r="AI57" t="s">
        <v>69</v>
      </c>
    </row>
    <row r="58" spans="31:36">
      <c r="AE58" t="s">
        <v>16</v>
      </c>
      <c r="AF58">
        <f>COUNTIFS('List Project'!C:C,"2025",'List Project'!P:P,"OGP",'List Project'!O:O,"Adi",'List Project'!Q:Q,"OGP")</f>
        <v>1</v>
      </c>
      <c r="AG58">
        <f>COUNTIFS('List Project'!C:C,"2025",'List Project'!P:P,"OGP",'List Project'!O:O,"Dwi",'List Project'!Q:Q,"OGP")</f>
        <v>0</v>
      </c>
      <c r="AH58">
        <f>COUNTIFS('List Project'!C:C,"2025",'List Project'!P:P,"OGP",'List Project'!O:O,"Duta",'List Project'!Q:Q,"OGP")</f>
        <v>1</v>
      </c>
      <c r="AI58">
        <f>COUNTIFS('List Project'!C:C,"2025",'List Project'!P:P,"OGP",'List Project'!O:O,"Gugum",'List Project'!Q:Q,"OGP")</f>
        <v>3</v>
      </c>
    </row>
    <row r="59" spans="31:36">
      <c r="AE59" t="s">
        <v>17</v>
      </c>
      <c r="AF59">
        <f>COUNTIFS('List Project'!C:C,"2025",'List Project'!P:P,"OGP",'List Project'!O:O,"Adi",'List Project'!R:R,"OGP")</f>
        <v>0</v>
      </c>
      <c r="AG59">
        <f>COUNTIFS('List Project'!C:C,"2025",'List Project'!P:P,"OGP",'List Project'!O:O,"Dwi",'List Project'!R:R,"OGP")</f>
        <v>0</v>
      </c>
      <c r="AH59">
        <f>COUNTIFS('List Project'!C:C,"2025",'List Project'!P:P,"OGP",'List Project'!O:O,"Duta",'List Project'!R:R,"OGP")</f>
        <v>1</v>
      </c>
      <c r="AI59">
        <f>COUNTIFS('List Project'!C:C,"2025",'List Project'!P:P,"OGP",'List Project'!O:O,"Gugum",'List Project'!R:R,"OGP")</f>
        <v>0</v>
      </c>
    </row>
    <row r="60" spans="31:36">
      <c r="AE60" t="s">
        <v>18</v>
      </c>
      <c r="AF60">
        <f>COUNTIFS('List Project'!C:C,"2025",'List Project'!P:P,"OGP",'List Project'!O:O,"Adi",'List Project'!S:S,"OGP")</f>
        <v>0</v>
      </c>
      <c r="AG60">
        <f>COUNTIFS('List Project'!C:C,"2025",'List Project'!P:P,"OGP",'List Project'!O:O,"Dwi",'List Project'!S:S,"OGP")</f>
        <v>1</v>
      </c>
      <c r="AH60">
        <f>COUNTIFS('List Project'!C:C,"2025",'List Project'!P:P,"OGP",'List Project'!O:O,"Duta",'List Project'!S:S,"OGP")</f>
        <v>0</v>
      </c>
      <c r="AI60">
        <f>COUNTIFS('List Project'!C:C,"2025",'List Project'!P:P,"OGP",'List Project'!O:O,"Gugum",'List Project'!S:S,"OGP")</f>
        <v>2</v>
      </c>
    </row>
    <row r="61" spans="31:36">
      <c r="AE61" t="s">
        <v>19</v>
      </c>
      <c r="AF61">
        <f>COUNTIFS('List Project'!C:C,"2025",'List Project'!P:P,"OGP",'List Project'!O:O,"Adi",'List Project'!T:T,"OGP")</f>
        <v>0</v>
      </c>
      <c r="AG61">
        <f>COUNTIFS('List Project'!C:C,"2025",'List Project'!P:P,"OGP",'List Project'!O:O,"Dwi",'List Project'!T:T,"OGP")</f>
        <v>4</v>
      </c>
      <c r="AH61">
        <f>COUNTIFS('List Project'!C:C,"2025",'List Project'!P:P,"OGP",'List Project'!O:O,"Duta",'List Project'!T:T,"OGP")</f>
        <v>2</v>
      </c>
      <c r="AI61">
        <f>COUNTIFS('List Project'!C:C,"2025",'List Project'!P:P,"OGP",'List Project'!O:O,"Gugum",'List Project'!T:T,"OGP")</f>
        <v>0</v>
      </c>
    </row>
  </sheetData>
  <mergeCells count="21">
    <mergeCell ref="BR1:BS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G15:H16"/>
    <mergeCell ref="E19:F19"/>
    <mergeCell ref="C20:H21"/>
    <mergeCell ref="B2:C3"/>
    <mergeCell ref="D2:E3"/>
    <mergeCell ref="B4:C5"/>
    <mergeCell ref="D4:E5"/>
    <mergeCell ref="C15:D16"/>
    <mergeCell ref="E15:F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BFF7-C114-4D3C-9AE0-2CA789A4514D}">
  <dimension ref="B1:BS61"/>
  <sheetViews>
    <sheetView showGridLines="0" workbookViewId="0">
      <selection activeCell="AA18" sqref="AA18"/>
    </sheetView>
  </sheetViews>
  <sheetFormatPr defaultRowHeight="15"/>
  <cols>
    <col min="1" max="1" width="5.140625" customWidth="1"/>
    <col min="4" max="4" width="27.7109375" bestFit="1" customWidth="1"/>
    <col min="6" max="6" width="9.140625" bestFit="1" customWidth="1"/>
    <col min="31" max="31" width="17.42578125" bestFit="1" customWidth="1"/>
    <col min="32" max="32" width="19.85546875" bestFit="1" customWidth="1"/>
    <col min="33" max="33" width="19.140625" customWidth="1"/>
    <col min="34" max="42" width="17.7109375" bestFit="1" customWidth="1"/>
    <col min="43" max="43" width="17.7109375" customWidth="1"/>
    <col min="44" max="44" width="15.85546875" bestFit="1" customWidth="1"/>
    <col min="45" max="45" width="18.7109375" bestFit="1" customWidth="1"/>
    <col min="47" max="47" width="15" bestFit="1" customWidth="1"/>
    <col min="48" max="48" width="8.5703125" bestFit="1" customWidth="1"/>
    <col min="49" max="49" width="15.5703125" bestFit="1" customWidth="1"/>
    <col min="51" max="51" width="15.5703125" bestFit="1" customWidth="1"/>
    <col min="53" max="53" width="16" bestFit="1" customWidth="1"/>
    <col min="55" max="55" width="16" bestFit="1" customWidth="1"/>
    <col min="57" max="57" width="15.5703125" bestFit="1" customWidth="1"/>
    <col min="59" max="59" width="15.5703125" bestFit="1" customWidth="1"/>
    <col min="61" max="61" width="16" bestFit="1" customWidth="1"/>
    <col min="63" max="63" width="15.5703125" bestFit="1" customWidth="1"/>
    <col min="65" max="65" width="15.5703125" bestFit="1" customWidth="1"/>
    <col min="67" max="67" width="15.5703125" bestFit="1" customWidth="1"/>
    <col min="69" max="69" width="15.5703125" bestFit="1" customWidth="1"/>
    <col min="71" max="71" width="15.5703125" bestFit="1" customWidth="1"/>
  </cols>
  <sheetData>
    <row r="1" spans="2:71" ht="15" customHeight="1">
      <c r="G1" s="28"/>
      <c r="H1" s="28"/>
      <c r="I1" s="28"/>
      <c r="AE1" s="13"/>
      <c r="AF1" s="13" t="s">
        <v>23</v>
      </c>
      <c r="AG1" s="13" t="s">
        <v>96</v>
      </c>
      <c r="AH1" s="13" t="s">
        <v>144</v>
      </c>
      <c r="AI1" s="13" t="s">
        <v>183</v>
      </c>
      <c r="AJ1" s="13" t="s">
        <v>212</v>
      </c>
      <c r="AK1" s="13" t="s">
        <v>261</v>
      </c>
      <c r="AL1" s="13" t="s">
        <v>274</v>
      </c>
      <c r="AM1" s="13" t="s">
        <v>303</v>
      </c>
      <c r="AN1" s="13" t="s">
        <v>338</v>
      </c>
      <c r="AO1" s="13" t="s">
        <v>358</v>
      </c>
      <c r="AP1" s="13" t="s">
        <v>384</v>
      </c>
      <c r="AQ1" s="13" t="s">
        <v>408</v>
      </c>
      <c r="AU1" s="6">
        <v>2026</v>
      </c>
      <c r="AV1" s="187" t="s">
        <v>3210</v>
      </c>
      <c r="AW1" s="187"/>
      <c r="AX1" s="187" t="s">
        <v>3211</v>
      </c>
      <c r="AY1" s="187"/>
      <c r="AZ1" s="187" t="s">
        <v>3212</v>
      </c>
      <c r="BA1" s="187"/>
      <c r="BB1" s="187" t="s">
        <v>3213</v>
      </c>
      <c r="BC1" s="187"/>
      <c r="BD1" s="187" t="s">
        <v>3214</v>
      </c>
      <c r="BE1" s="187"/>
      <c r="BF1" s="187" t="s">
        <v>3215</v>
      </c>
      <c r="BG1" s="187"/>
      <c r="BH1" s="187" t="s">
        <v>3216</v>
      </c>
      <c r="BI1" s="187"/>
      <c r="BJ1" s="187" t="s">
        <v>3217</v>
      </c>
      <c r="BK1" s="187"/>
      <c r="BL1" s="187" t="s">
        <v>3218</v>
      </c>
      <c r="BM1" s="187"/>
      <c r="BN1" s="187" t="s">
        <v>3219</v>
      </c>
      <c r="BO1" s="187"/>
      <c r="BP1" s="187" t="s">
        <v>3220</v>
      </c>
      <c r="BQ1" s="187"/>
      <c r="BR1" s="187" t="s">
        <v>408</v>
      </c>
      <c r="BS1" s="187"/>
    </row>
    <row r="2" spans="2:71" ht="15" customHeight="1">
      <c r="B2" s="183" t="s">
        <v>3221</v>
      </c>
      <c r="C2" s="183"/>
      <c r="D2" s="184">
        <f>COUNTIFS('List Project'!C:C,"2026",'List Project'!P:P,"Done")+COUNTIFS('List Project'!C:C,"2026",'List Project'!P:P,"OGP")</f>
        <v>37</v>
      </c>
      <c r="E2" s="184"/>
      <c r="F2" s="39"/>
      <c r="G2" s="39"/>
      <c r="H2" s="39"/>
      <c r="I2" s="39"/>
      <c r="AE2" t="s">
        <v>3222</v>
      </c>
      <c r="AF2" s="18">
        <f>SUMIFS('List Project'!I:I,'List Project'!D:D,"Januari",'List Project'!C:C,"2026")</f>
        <v>42051389410.440002</v>
      </c>
      <c r="AG2" s="18">
        <f>SUMIFS('List Project'!I:I,'List Project'!D:D,"Februari",'List Project'!C:C,"2026")</f>
        <v>50194925471.279999</v>
      </c>
      <c r="AH2" s="18">
        <f>SUMIFS('List Project'!I:I,'List Project'!D:D,"Maret",'List Project'!C:C,"2026")</f>
        <v>122904058778</v>
      </c>
      <c r="AI2" s="18">
        <f>SUMIFS('List Project'!I:I,'List Project'!D:D,"April",'List Project'!C:C,"2026")</f>
        <v>890265900</v>
      </c>
      <c r="AJ2" s="18">
        <f>SUMIFS('List Project'!I:I,'List Project'!D:D,"Mei",'List Project'!C:C,"2026")</f>
        <v>137200000</v>
      </c>
      <c r="AK2" s="18">
        <f>SUMIFS('List Project'!I:I,'List Project'!D:D,"Juni",'List Project'!C:C,"2026")</f>
        <v>401920000</v>
      </c>
      <c r="AL2" s="18">
        <f>SUMIFS('List Project'!I:I,'List Project'!D:D,"Juli",'List Project'!C:C,"2026")</f>
        <v>1683908000</v>
      </c>
      <c r="AM2" s="18">
        <f>SUMIFS('List Project'!I:I,'List Project'!D:D,"Agustus",'List Project'!C:C,"2026")</f>
        <v>142144000</v>
      </c>
      <c r="AN2" s="18">
        <f>SUMIFS('List Project'!I:I,'List Project'!D:D,"September",'List Project'!C:C,"2026")</f>
        <v>0</v>
      </c>
      <c r="AO2" s="18">
        <f>SUMIFS('List Project'!I:I,'List Project'!D:D,"Oktober",'List Project'!C:C,"2026")</f>
        <v>0</v>
      </c>
      <c r="AP2" s="18">
        <f>SUMIFS('List Project'!I:I,'List Project'!D:D,"November",'List Project'!C:C,"2026")</f>
        <v>0</v>
      </c>
      <c r="AQ2" s="18">
        <f>SUMIFS('List Project'!I:I,'List Project'!D:D,"Desember",'List Project'!C:C,"2026")</f>
        <v>0</v>
      </c>
      <c r="AR2" s="17">
        <f>SUM(AF2:AQ2)</f>
        <v>218405811559.72</v>
      </c>
      <c r="AU2" s="7" t="s">
        <v>3223</v>
      </c>
      <c r="AV2" s="7" t="s">
        <v>3224</v>
      </c>
      <c r="AW2" s="7" t="s">
        <v>3225</v>
      </c>
      <c r="AX2" s="7" t="s">
        <v>3224</v>
      </c>
      <c r="AY2" s="7" t="s">
        <v>3225</v>
      </c>
      <c r="AZ2" s="7" t="s">
        <v>3224</v>
      </c>
      <c r="BA2" s="7" t="s">
        <v>3225</v>
      </c>
      <c r="BB2" s="7" t="s">
        <v>3224</v>
      </c>
      <c r="BC2" s="7" t="s">
        <v>3225</v>
      </c>
      <c r="BD2" s="7" t="s">
        <v>3224</v>
      </c>
      <c r="BE2" s="7" t="s">
        <v>3225</v>
      </c>
      <c r="BF2" s="7" t="s">
        <v>3224</v>
      </c>
      <c r="BG2" s="7" t="s">
        <v>3225</v>
      </c>
      <c r="BH2" s="7" t="s">
        <v>3224</v>
      </c>
      <c r="BI2" s="7" t="s">
        <v>3225</v>
      </c>
      <c r="BJ2" s="7" t="s">
        <v>3224</v>
      </c>
      <c r="BK2" s="7" t="s">
        <v>3225</v>
      </c>
      <c r="BL2" s="7" t="s">
        <v>3224</v>
      </c>
      <c r="BM2" s="7" t="s">
        <v>3225</v>
      </c>
      <c r="BN2" s="7" t="s">
        <v>3224</v>
      </c>
      <c r="BO2" s="7" t="s">
        <v>3225</v>
      </c>
      <c r="BP2" s="7" t="s">
        <v>3224</v>
      </c>
      <c r="BQ2" s="7" t="s">
        <v>3225</v>
      </c>
      <c r="BR2" s="7" t="s">
        <v>3224</v>
      </c>
      <c r="BS2" s="7" t="s">
        <v>3225</v>
      </c>
    </row>
    <row r="3" spans="2:71" ht="15" customHeight="1">
      <c r="B3" s="183"/>
      <c r="C3" s="183"/>
      <c r="D3" s="184"/>
      <c r="E3" s="184"/>
      <c r="F3" s="39"/>
      <c r="G3" s="39"/>
      <c r="H3" s="39"/>
      <c r="I3" s="39"/>
      <c r="AE3" t="s">
        <v>45</v>
      </c>
      <c r="AF3" s="18">
        <f>COUNTIFS('List Project'!D:D,"Januari",'List Project'!O:O,"Adi",'List Project'!C:C,"2026")</f>
        <v>0</v>
      </c>
      <c r="AG3" s="18">
        <f>COUNTIFS('List Project'!D:D,"Februari",'List Project'!O:O,"Adi",'List Project'!C:C,"2026")</f>
        <v>0</v>
      </c>
      <c r="AH3" s="18">
        <f>COUNTIFS('List Project'!D:D,"Maret",'List Project'!O:O,"Adi",'List Project'!C:C,"2026")</f>
        <v>0</v>
      </c>
      <c r="AI3" s="18">
        <f>COUNTIFS('List Project'!D:D,"April",'List Project'!O:O,"Adi",'List Project'!C:C,"2026")</f>
        <v>0</v>
      </c>
      <c r="AJ3" s="18">
        <f>COUNTIFS('List Project'!D:D,"Mei",'List Project'!O:O,"Adi",'List Project'!C:C,"2026")</f>
        <v>0</v>
      </c>
      <c r="AK3" s="18">
        <f>COUNTIFS('List Project'!D:D,"Juni",'List Project'!O:O,"Adi",'List Project'!C:C,"2026")</f>
        <v>0</v>
      </c>
      <c r="AL3" s="18">
        <f>COUNTIFS('List Project'!D:D,"Juli",'List Project'!O:O,"Adi",'List Project'!C:C,"2026")</f>
        <v>0</v>
      </c>
      <c r="AM3" s="18">
        <f>COUNTIFS('List Project'!D:D,"Agustus",'List Project'!O:O,"Adi",'List Project'!C:C,"2026")</f>
        <v>0</v>
      </c>
      <c r="AN3" s="18">
        <f>COUNTIFS('List Project'!D:D,"September",'List Project'!O:O,"Adi",'List Project'!C:C,"2026")</f>
        <v>0</v>
      </c>
      <c r="AO3" s="18">
        <f>COUNTIFS('List Project'!D:D,"Oktober",'List Project'!O:O,"Adi",'List Project'!C:C,"2026")</f>
        <v>0</v>
      </c>
      <c r="AP3" s="18">
        <f>COUNTIFS('List Project'!D:D,"November",'List Project'!O:O,"Adi",'List Project'!C:C,"2026")</f>
        <v>0</v>
      </c>
      <c r="AQ3" s="18">
        <f>COUNTIFS('List Project'!D:D,"Desember",'List Project'!O:O,"Adi",'List Project'!C:C,"2026")</f>
        <v>0</v>
      </c>
      <c r="AR3" s="17">
        <f>SUM(AF3:AQ3)</f>
        <v>0</v>
      </c>
      <c r="AS3" s="17">
        <f ca="1">SUMIFS('List Project'!W:W,'List Project'!AC:AC,"Adi",'List Project'!M:M,"2026")</f>
        <v>0</v>
      </c>
      <c r="AU3" s="8" t="s">
        <v>3226</v>
      </c>
      <c r="AV3" s="9">
        <f>COUNTIFS('List Order'!B:B,"Januari",'List Order'!I:I,"Nomor Akses",'List Order'!C:C,"2026")</f>
        <v>8</v>
      </c>
      <c r="AW3" s="14">
        <f>SUM(AW4:AW6)</f>
        <v>0</v>
      </c>
      <c r="AX3" s="9">
        <f>COUNTIFS('List Order'!B:B,"Februari",'List Order'!I:I,"Nomor Akses",'List Order'!C:C,"2026")</f>
        <v>5</v>
      </c>
      <c r="AY3" s="14">
        <f>SUM(AY4:AY6)</f>
        <v>0</v>
      </c>
      <c r="AZ3" s="9">
        <f>COUNTIFS('List Order'!B:B,"Maret",'List Order'!I:I,"Nomor Akses",'List Order'!C:C,"2026")</f>
        <v>3</v>
      </c>
      <c r="BA3" s="14">
        <f>SUM(BA4:BA6)</f>
        <v>0</v>
      </c>
      <c r="BB3" s="9">
        <f>COUNTIFS('List Order'!B:B,"April",'List Order'!I:I,"Nomor Akses",'List Order'!C:C,"2026")</f>
        <v>12</v>
      </c>
      <c r="BC3" s="14">
        <f>SUM(BC4:BC6)</f>
        <v>0</v>
      </c>
      <c r="BD3" s="9">
        <f>COUNTIFS('List Order'!B:B,"Mei",'List Order'!I:I,"Nomor Akses",'List Order'!C:C,"2026")</f>
        <v>4</v>
      </c>
      <c r="BE3" s="14">
        <f>SUM(BE4:BE6)</f>
        <v>0</v>
      </c>
      <c r="BF3" s="9">
        <f>COUNTIFS('List Order'!B:B,"Juni",'List Order'!I:I,"Nomor Akses",'List Order'!C:C,"2026")</f>
        <v>9</v>
      </c>
      <c r="BG3" s="14">
        <f>SUM(BG4:BG6)</f>
        <v>0</v>
      </c>
      <c r="BH3" s="9">
        <f>COUNTIFS('List Order'!B:B,"Juli",'List Order'!I:I,"Nomor Akses",'List Order'!C:C,"2026")</f>
        <v>12</v>
      </c>
      <c r="BI3" s="14">
        <f>SUM(BI4:BI6)</f>
        <v>0</v>
      </c>
      <c r="BJ3" s="9">
        <f>COUNTIFS('List Order'!B:B,"Agustus",'List Order'!I:I,"Nomor Akses",'List Order'!C:C,"2026")</f>
        <v>0</v>
      </c>
      <c r="BK3" s="14">
        <f>SUM(BK4:BK6)</f>
        <v>0</v>
      </c>
      <c r="BL3" s="9">
        <f>COUNTIFS('List Order'!B:B,"September",'List Order'!I:I,"Nomor Akses",'List Order'!C:C,"2026")</f>
        <v>0</v>
      </c>
      <c r="BM3" s="14">
        <f>SUM(BM4:BM6)</f>
        <v>0</v>
      </c>
      <c r="BN3" s="9">
        <f>COUNTIFS('List Order'!B:B,"Oktober",'List Order'!I:I,"Nomor Akses",'List Order'!C:C,"2026")</f>
        <v>0</v>
      </c>
      <c r="BO3" s="14">
        <f>SUM(BO4:BO6)</f>
        <v>0</v>
      </c>
      <c r="BP3" s="9">
        <f>COUNTIFS('List Order'!B:B,"November",'List Order'!I:I,"Nomor Akses",'List Order'!C:C,"2026")</f>
        <v>0</v>
      </c>
      <c r="BQ3" s="14">
        <f>SUM(BQ4:BQ6)</f>
        <v>0</v>
      </c>
      <c r="BR3" s="9">
        <f>COUNTIFS('List Order'!B:B,"Desember",'List Order'!I:I,"Nomor Akses",'List Order'!C:C,"2026")</f>
        <v>0</v>
      </c>
      <c r="BS3" s="14">
        <f>SUM(BS4:BS6)</f>
        <v>0</v>
      </c>
    </row>
    <row r="4" spans="2:71" ht="15" customHeight="1">
      <c r="B4" s="185" t="s">
        <v>3227</v>
      </c>
      <c r="C4" s="185"/>
      <c r="D4" s="186">
        <f>SUMIF('List Project'!C:C,"2026",'List Project'!I:I)</f>
        <v>218405811559.72</v>
      </c>
      <c r="E4" s="186"/>
      <c r="F4" s="39"/>
      <c r="G4" s="39"/>
      <c r="H4" s="39"/>
      <c r="I4" s="39"/>
      <c r="AE4" t="s">
        <v>51</v>
      </c>
      <c r="AF4" s="18">
        <f>COUNTIFS('List Project'!D:D,"Januari",'List Project'!O:O,"Dwi",'List Project'!C:C,"2026")</f>
        <v>4</v>
      </c>
      <c r="AG4" s="18">
        <f>COUNTIFS('List Project'!D:D,"Februari",'List Project'!O:O,"Dwi",'List Project'!C:C,"2026")</f>
        <v>5</v>
      </c>
      <c r="AH4" s="18">
        <f>COUNTIFS('List Project'!D:D,"Maret",'List Project'!O:O,"Dwi",'List Project'!C:C,"2026")</f>
        <v>4</v>
      </c>
      <c r="AI4" s="18">
        <f>COUNTIFS('List Project'!D:D,"April",'List Project'!O:O,"Dwi",'List Project'!C:C,"2026")</f>
        <v>0</v>
      </c>
      <c r="AJ4" s="18">
        <f>COUNTIFS('List Project'!D:D,"Mei",'List Project'!O:O,"Dwi",'List Project'!C:C,"2026")</f>
        <v>0</v>
      </c>
      <c r="AK4" s="18">
        <f>COUNTIFS('List Project'!D:D,"Juni",'List Project'!O:O,"Dwi",'List Project'!C:C,"2026")</f>
        <v>1</v>
      </c>
      <c r="AL4" s="18">
        <f>COUNTIFS('List Project'!D:D,"Juli",'List Project'!O:O,"Dwi",'List Project'!C:C,"2026")</f>
        <v>1</v>
      </c>
      <c r="AM4" s="18">
        <f>COUNTIFS('List Project'!D:D,"Agustus",'List Project'!O:O,"Dwi",'List Project'!C:C,"2026")</f>
        <v>0</v>
      </c>
      <c r="AN4" s="18">
        <f>COUNTIFS('List Project'!D:D,"September",'List Project'!O:O,"Dwi",'List Project'!C:C,"2026")</f>
        <v>0</v>
      </c>
      <c r="AO4" s="18">
        <f>COUNTIFS('List Project'!D:D,"Oktober",'List Project'!O:O,"Dwi",'List Project'!C:C,"2026")</f>
        <v>0</v>
      </c>
      <c r="AP4" s="18">
        <f>COUNTIFS('List Project'!D:D,"November",'List Project'!O:O,"Dwi",'List Project'!C:C,"2026")</f>
        <v>0</v>
      </c>
      <c r="AQ4" s="18">
        <f>COUNTIFS('List Project'!D:D,"Desember",'List Project'!O:O,"Dwi",'List Project'!C:C,"2026")</f>
        <v>0</v>
      </c>
      <c r="AR4" s="17">
        <f>SUM(AF4:AQ4)</f>
        <v>15</v>
      </c>
      <c r="AS4" s="17">
        <f ca="1">SUMIFS('List Project'!W:W,'List Project'!AC:AC,"Dwi",'List Project'!M:M,"2026")</f>
        <v>0</v>
      </c>
      <c r="AU4" s="1" t="s">
        <v>967</v>
      </c>
      <c r="AV4" s="3">
        <f>COUNTIFS('List Order'!C:C,"2026",'List Order'!B:B,"Januari",'List Order'!H:H,"Aktivasi",'List Order'!I:I,"Nomor Akses")</f>
        <v>3</v>
      </c>
      <c r="AW4" s="15">
        <f>SUMIFS('List Order'!T:T,'List Order'!C:C,"2026",'List Order'!B:B,"Januari",'List Order'!H:H,"Aktivasi",'List Order'!I:I,"Nomor Akses")</f>
        <v>0</v>
      </c>
      <c r="AX4" s="3">
        <f>COUNTIFS('List Order'!C:C,"2026",'List Order'!B:B,"Februari",'List Order'!H:H,"Aktivasi",'List Order'!I:I,"Nomor Akses")</f>
        <v>3</v>
      </c>
      <c r="AY4" s="15">
        <f>SUMIFS('List Order'!T:T,'List Order'!C:C,"2026",'List Order'!B:B,"Februari",'List Order'!H:H,"Aktivasi",'List Order'!I:I,"Nomor Akses")</f>
        <v>0</v>
      </c>
      <c r="AZ4" s="3">
        <f>COUNTIFS('List Order'!C:C,"2026",'List Order'!B:B,"Maret",'List Order'!H:H,"Aktivasi",'List Order'!I:I,"Nomor Akses")</f>
        <v>3</v>
      </c>
      <c r="BA4" s="15">
        <f>SUMIFS('List Order'!T:T,'List Order'!C:C,"2026",'List Order'!B:B,"Maret",'List Order'!H:H,"Aktivasi",'List Order'!I:I,"Nomor Akses")</f>
        <v>0</v>
      </c>
      <c r="BB4" s="3">
        <f>COUNTIFS('List Order'!C:C,"2026",'List Order'!B:B,"April",'List Order'!H:H,"Aktivasi",'List Order'!I:I,"Nomor Akses")</f>
        <v>0</v>
      </c>
      <c r="BC4" s="15">
        <f>SUMIFS('List Order'!T:T,'List Order'!C:C,"2026",'List Order'!B:B,"April",'List Order'!H:H,"Aktivasi",'List Order'!I:I,"Nomor Akses")</f>
        <v>0</v>
      </c>
      <c r="BD4" s="3">
        <f>COUNTIFS('List Order'!C:C,"2026",'List Order'!B:B,"Mei",'List Order'!H:H,"Aktivasi",'List Order'!I:I,"Nomor Akses")</f>
        <v>2</v>
      </c>
      <c r="BE4" s="15">
        <f>SUMIFS('List Order'!T:T,'List Order'!C:C,"2026",'List Order'!B:B,"Mei",'List Order'!H:H,"Aktivasi",'List Order'!I:I,"Nomor Akses")</f>
        <v>0</v>
      </c>
      <c r="BF4" s="3">
        <f>COUNTIFS('List Order'!C:C,"2026",'List Order'!B:B,"Juni",'List Order'!H:H,"Aktivasi",'List Order'!I:I,"Nomor Akses")</f>
        <v>4</v>
      </c>
      <c r="BG4" s="15">
        <f>SUMIFS('List Order'!T:T,'List Order'!C:C,"2026",'List Order'!B:B,"Juni",'List Order'!H:H,"Aktivasi",'List Order'!I:I,"Nomor Akses")</f>
        <v>0</v>
      </c>
      <c r="BH4" s="3">
        <f>COUNTIFS('List Order'!C:C,"2026",'List Order'!B:B,"Juli",'List Order'!H:H,"Aktivasi",'List Order'!I:I,"Nomor Akses")</f>
        <v>5</v>
      </c>
      <c r="BI4" s="15">
        <f>SUMIFS('List Order'!T:T,'List Order'!C:C,"2026",'List Order'!B:B,"Juli",'List Order'!H:H,"Aktivasi",'List Order'!I:I,"Nomor Akses")</f>
        <v>0</v>
      </c>
      <c r="BJ4" s="3">
        <f>COUNTIFS('List Order'!C:C,"2026",'List Order'!B:B,"Agustus",'List Order'!H:H,"Aktivasi",'List Order'!I:I,"Nomor Akses")</f>
        <v>0</v>
      </c>
      <c r="BK4" s="15">
        <f>SUMIFS('List Order'!T:T,'List Order'!C:C,"2026",'List Order'!B:B,"Agustus",'List Order'!H:H,"Aktivasi",'List Order'!I:I,"Nomor Akses")</f>
        <v>0</v>
      </c>
      <c r="BL4" s="3">
        <f>COUNTIFS('List Order'!C:C,"2026",'List Order'!B:B,"September",'List Order'!H:H,"Aktivasi",'List Order'!I:I,"Nomor Akses")</f>
        <v>0</v>
      </c>
      <c r="BM4" s="15">
        <f>SUMIFS('List Order'!T:T,'List Order'!C:C,"2026",'List Order'!B:B,"September",'List Order'!H:H,"Aktivasi",'List Order'!I:I,"Nomor Akses")</f>
        <v>0</v>
      </c>
      <c r="BN4" s="3">
        <f>COUNTIFS('List Order'!C:C,"2026",'List Order'!B:B,"Oktober",'List Order'!H:H,"Aktivasi",'List Order'!I:I,"Nomor Akses")</f>
        <v>0</v>
      </c>
      <c r="BO4" s="15">
        <f>SUMIFS('List Order'!T:T,'List Order'!C:C,"2026",'List Order'!B:B,"Oktober",'List Order'!H:H,"Aktivasi",'List Order'!I:I,"Nomor Akses")</f>
        <v>0</v>
      </c>
      <c r="BP4" s="3">
        <f>COUNTIFS('List Order'!C:C,"2026",'List Order'!B:B,"November",'List Order'!H:H,"Aktivasi",'List Order'!I:I,"Nomor Akses")</f>
        <v>0</v>
      </c>
      <c r="BQ4" s="15">
        <f>SUMIFS('List Order'!T:T,'List Order'!C:C,"2026",'List Order'!B:B,"November",'List Order'!H:H,"Aktivasi",'List Order'!I:I,"Nomor Akses")</f>
        <v>0</v>
      </c>
      <c r="BR4" s="3">
        <f>COUNTIFS('List Order'!C:C,"2026",'List Order'!B:B,"Desember",'List Order'!H:H,"Aktivasi",'List Order'!I:I,"Nomor Akses")</f>
        <v>0</v>
      </c>
      <c r="BS4" s="15">
        <f>SUMIFS('List Order'!T:T,'List Order'!C:C,"2026",'List Order'!B:B,"Desember",'List Order'!H:H,"Aktivasi")</f>
        <v>0</v>
      </c>
    </row>
    <row r="5" spans="2:71" ht="15" customHeight="1">
      <c r="B5" s="185"/>
      <c r="C5" s="185"/>
      <c r="D5" s="186"/>
      <c r="E5" s="186"/>
      <c r="F5" s="38"/>
      <c r="G5" s="38"/>
      <c r="H5" s="38"/>
      <c r="I5" s="38"/>
      <c r="AE5" t="s">
        <v>31</v>
      </c>
      <c r="AF5" s="18">
        <f>COUNTIFS('List Project'!D:D,"Januari",'List Project'!O:O,"Duta",'List Project'!C:C,"2026")</f>
        <v>5</v>
      </c>
      <c r="AG5" s="18">
        <f>COUNTIFS('List Project'!D:D,"Februari",'List Project'!O:O,"Duta",'List Project'!C:C,"2026")</f>
        <v>1</v>
      </c>
      <c r="AH5" s="18">
        <f>COUNTIFS('List Project'!D:D,"Maret",'List Project'!O:O,"Duta",'List Project'!C:C,"2026")</f>
        <v>0</v>
      </c>
      <c r="AI5" s="18">
        <f>COUNTIFS('List Project'!D:D,"April",'List Project'!O:O,"Duta",'List Project'!C:C,"2026")</f>
        <v>0</v>
      </c>
      <c r="AJ5" s="18">
        <f>COUNTIFS('List Project'!D:D,"Mei",'List Project'!O:O,"Duta",'List Project'!C:C,"2026")</f>
        <v>0</v>
      </c>
      <c r="AK5" s="18">
        <f>COUNTIFS('List Project'!D:D,"Juni",'List Project'!O:O,"Duta",'List Project'!C:C,"2026")</f>
        <v>0</v>
      </c>
      <c r="AL5" s="18">
        <f>COUNTIFS('List Project'!D:D,"Juli",'List Project'!O:O,"Duta",'List Project'!C:C,"2026")</f>
        <v>0</v>
      </c>
      <c r="AM5" s="18">
        <f>COUNTIFS('List Project'!D:D,"Agustus",'List Project'!O:O,"Duta",'List Project'!C:C,"2026")</f>
        <v>0</v>
      </c>
      <c r="AN5" s="18">
        <f>COUNTIFS('List Project'!D:D,"September",'List Project'!O:O,"Duta",'List Project'!C:C,"2026")</f>
        <v>0</v>
      </c>
      <c r="AO5" s="18">
        <f>COUNTIFS('List Project'!D:D,"Oktober",'List Project'!O:O,"Duta",'List Project'!C:C,"2026")</f>
        <v>0</v>
      </c>
      <c r="AP5" s="18">
        <f>COUNTIFS('List Project'!D:D,"November",'List Project'!O:O,"Duta",'List Project'!C:C,"2026")</f>
        <v>0</v>
      </c>
      <c r="AQ5" s="18">
        <f>COUNTIFS('List Project'!D:D,"Desember",'List Project'!O:O,"Duta",'List Project'!C:C,"2026")</f>
        <v>0</v>
      </c>
      <c r="AR5" s="17">
        <f>SUM(AF5:AQ5)</f>
        <v>6</v>
      </c>
      <c r="AS5" s="17">
        <f ca="1">SUMIFS('List Project'!W:W,'List Project'!AC:AC,"Duta",'List Project'!M:M,"2026")</f>
        <v>0</v>
      </c>
      <c r="AU5" s="1" t="s">
        <v>985</v>
      </c>
      <c r="AV5" s="3">
        <f>COUNTIFS('List Order'!C:C,"2026",'List Order'!B:B,"Januari",'List Order'!H:H,"Novasi",'List Order'!I:I,"Nomor Akses")</f>
        <v>0</v>
      </c>
      <c r="AW5" s="15">
        <f>SUMIFS('List Order'!T:T,'List Order'!C:C,"2026",'List Order'!B:B,"Januari",'List Order'!H:H,"Novasi",'List Order'!I:I,"Nomor Akses")</f>
        <v>0</v>
      </c>
      <c r="AX5" s="3">
        <f>COUNTIFS('List Order'!C:C,"2026",'List Order'!B:B,"Februari",'List Order'!H:H,"Novasi",'List Order'!I:I,"Nomor Akses")</f>
        <v>0</v>
      </c>
      <c r="AY5" s="15">
        <f>SUMIFS('List Order'!T:T,'List Order'!C:C,"2026",'List Order'!B:B,"Februari",'List Order'!H:H,"Novasi",'List Order'!I:I,"Nomor Akses")</f>
        <v>0</v>
      </c>
      <c r="AZ5" s="3">
        <f>COUNTIFS('List Order'!C:C,"2026",'List Order'!B:B,"Maret",'List Order'!H:H,"Novasi",'List Order'!I:I,"Nomor Akses")</f>
        <v>0</v>
      </c>
      <c r="BA5" s="15">
        <f>SUMIFS('List Order'!T:T,'List Order'!C:C,"2026",'List Order'!B:B,"Maret",'List Order'!H:H,"Novasi",'List Order'!I:I,"Nomor Akses")</f>
        <v>0</v>
      </c>
      <c r="BB5" s="3">
        <f>COUNTIFS('List Order'!C:C,"2026",'List Order'!B:B,"April",'List Order'!H:H,"Novasi",'List Order'!I:I,"Nomor Akses")</f>
        <v>1</v>
      </c>
      <c r="BC5" s="15">
        <f>SUMIFS('List Order'!T:T,'List Order'!C:C,"2026",'List Order'!B:B,"April",'List Order'!H:H,"Novasi",'List Order'!I:I,"Nomor Akses")</f>
        <v>0</v>
      </c>
      <c r="BD5" s="3">
        <f>COUNTIFS('List Order'!C:C,"2026",'List Order'!B:B,"Mei",'List Order'!H:H,"Novasi",'List Order'!I:I,"Nomor Akses")</f>
        <v>0</v>
      </c>
      <c r="BE5" s="15">
        <f>SUMIFS('List Order'!T:T,'List Order'!C:C,"2026",'List Order'!B:B,"Mei",'List Order'!H:H,"Novasi",'List Order'!I:I,"Nomor Akses")</f>
        <v>0</v>
      </c>
      <c r="BF5" s="3">
        <f>COUNTIFS('List Order'!C:C,"2026",'List Order'!B:B,"Juni",'List Order'!H:H,"Novasi",'List Order'!I:I,"Nomor Akses")</f>
        <v>0</v>
      </c>
      <c r="BG5" s="15">
        <f>SUMIFS('List Order'!T:T,'List Order'!C:C,"2026",'List Order'!B:B,"Juni",'List Order'!H:H,"Novasi",'List Order'!I:I,"Nomor Akses")</f>
        <v>0</v>
      </c>
      <c r="BH5" s="3">
        <f>COUNTIFS('List Order'!C:C,"2026",'List Order'!B:B,"Juli",'List Order'!H:H,"Novasi",'List Order'!I:I,"Nomor Akses")</f>
        <v>1</v>
      </c>
      <c r="BI5" s="15">
        <f>SUMIFS('List Order'!T:T,'List Order'!C:C,"2026",'List Order'!B:B,"Juli",'List Order'!H:H,"Novasi",'List Order'!I:I,"Nomor Akses")</f>
        <v>0</v>
      </c>
      <c r="BJ5" s="3">
        <f>COUNTIFS('List Order'!C:C,"2026",'List Order'!B:B,"Agustus",'List Order'!H:H,"Novasi",'List Order'!I:I,"Nomor Akses")</f>
        <v>0</v>
      </c>
      <c r="BK5" s="15">
        <f>SUMIFS('List Order'!T:T,'List Order'!C:C,"2026",'List Order'!B:B,"Agustus",'List Order'!H:H,"Novasi",'List Order'!I:I,"Nomor Akses")</f>
        <v>0</v>
      </c>
      <c r="BL5" s="3">
        <f>COUNTIFS('List Order'!C:C,"2026",'List Order'!B:B,"September",'List Order'!H:H,"Novasi",'List Order'!I:I,"Nomor Akses")</f>
        <v>0</v>
      </c>
      <c r="BM5" s="15">
        <f>SUMIFS('List Order'!T:T,'List Order'!C:C,"2026",'List Order'!B:B,"September",'List Order'!H:H,"Novasi",'List Order'!I:I,"Nomor Akses")</f>
        <v>0</v>
      </c>
      <c r="BN5" s="3">
        <f>COUNTIFS('List Order'!C:C,"2026",'List Order'!B:B,"Oktober",'List Order'!H:H,"Novasi",'List Order'!I:I,"Nomor Akses")</f>
        <v>0</v>
      </c>
      <c r="BO5" s="15">
        <f>SUMIFS('List Order'!T:T,'List Order'!C:C,"2026",'List Order'!B:B,"Oktober",'List Order'!H:H,"Novasi",'List Order'!I:I,"Nomor Akses")</f>
        <v>0</v>
      </c>
      <c r="BP5" s="3">
        <f>COUNTIFS('List Order'!C:C,"2026",'List Order'!B:B,"November",'List Order'!H:H,"Novasi",'List Order'!I:I,"Nomor Akses")</f>
        <v>0</v>
      </c>
      <c r="BQ5" s="15">
        <f>SUMIFS('List Order'!T:T,'List Order'!C:C,"2026",'List Order'!B:B,"November",'List Order'!H:H,"Novasi",'List Order'!I:I,"Nomor Akses")</f>
        <v>0</v>
      </c>
      <c r="BR5" s="3">
        <f>COUNTIFS('List Order'!C:C,"2026",'List Order'!B:B,"Desember",'List Order'!H:H,"Novasi",'List Order'!I:I,"Nomor Akses")</f>
        <v>0</v>
      </c>
      <c r="BS5" s="15">
        <f>SUMIFS('List Order'!T:T,'List Order'!C:C,"2026",'List Order'!B:B,"Desember",'List Order'!H:H,"Novasi")</f>
        <v>0</v>
      </c>
    </row>
    <row r="6" spans="2:71" ht="15" customHeight="1">
      <c r="B6" s="29"/>
      <c r="C6" s="29"/>
      <c r="D6" s="29"/>
      <c r="E6" s="29"/>
      <c r="F6" s="38"/>
      <c r="G6" s="38"/>
      <c r="H6" s="38"/>
      <c r="I6" s="38"/>
      <c r="AE6" t="s">
        <v>69</v>
      </c>
      <c r="AF6" s="18">
        <f>COUNTIFS('List Project'!D:D,"Januari",'List Project'!O:O,"Gugum",'List Project'!C:C,"2026")</f>
        <v>2</v>
      </c>
      <c r="AG6" s="18">
        <f>COUNTIFS('List Project'!D:D,"Februari",'List Project'!O:O,"Gugum",'List Project'!C:C,"2026")</f>
        <v>3</v>
      </c>
      <c r="AH6" s="18">
        <f>COUNTIFS('List Project'!D:D,"Maret",'List Project'!O:O,"Gugum",'List Project'!C:C,"2026")</f>
        <v>4</v>
      </c>
      <c r="AI6" s="18">
        <f>COUNTIFS('List Project'!D:D,"April",'List Project'!O:O,"Gugum",'List Project'!C:C,"2026")</f>
        <v>2</v>
      </c>
      <c r="AJ6" s="18">
        <f>COUNTIFS('List Project'!D:D,"Mei",'List Project'!O:O,"Gugum",'List Project'!C:C,"2026")</f>
        <v>2</v>
      </c>
      <c r="AK6" s="18">
        <f>COUNTIFS('List Project'!D:D,"Juni",'List Project'!O:O,"Gugum",'List Project'!C:C,"2026")</f>
        <v>3</v>
      </c>
      <c r="AL6" s="18">
        <f>COUNTIFS('List Project'!D:D,"Juli",'List Project'!O:O,"Gugum",'List Project'!C:C,"2026")</f>
        <v>7</v>
      </c>
      <c r="AM6" s="18">
        <f>COUNTIFS('List Project'!D:D,"Agustus",'List Project'!O:O,"Gugum",'List Project'!C:C,"2026")</f>
        <v>1</v>
      </c>
      <c r="AN6" s="18">
        <f>COUNTIFS('List Project'!D:D,"September",'List Project'!O:O,"Gugum",'List Project'!C:C,"2026")</f>
        <v>0</v>
      </c>
      <c r="AO6" s="18">
        <f>COUNTIFS('List Project'!D:D,"Oktober",'List Project'!O:O,"Gugum",'List Project'!C:C,"2026")</f>
        <v>0</v>
      </c>
      <c r="AP6" s="18">
        <f>COUNTIFS('List Project'!D:D,"November",'List Project'!O:O,"Gugum",'List Project'!C:C,"2026")</f>
        <v>0</v>
      </c>
      <c r="AQ6" s="18">
        <f>COUNTIFS('List Project'!D:D,"Desember",'List Project'!O:O,"Gugum",'List Project'!C:C,"2026")</f>
        <v>0</v>
      </c>
      <c r="AR6" s="17">
        <f>SUM(AF6:AQ6)</f>
        <v>24</v>
      </c>
      <c r="AS6" s="17">
        <f ca="1">SUMIFS('List Project'!W:W,'List Project'!AC:AC,"Gugum",'List Project'!M:M,"2026")</f>
        <v>0</v>
      </c>
      <c r="AU6" s="1" t="s">
        <v>1364</v>
      </c>
      <c r="AV6" s="3">
        <f>COUNTIFS('List Order'!C:C,"2026",'List Order'!B:B,"Januari",'List Order'!H:H,"Modified",'List Order'!I:I,"Nomor Akses")</f>
        <v>0</v>
      </c>
      <c r="AW6" s="15">
        <f>SUMIFS('List Order'!T:T,'List Order'!C:C,"2026",'List Order'!B:B,"Januari",'List Order'!H:H,"Modified",'List Order'!I:I,"Nomor Akses")</f>
        <v>0</v>
      </c>
      <c r="AX6" s="3">
        <f>COUNTIFS('List Order'!C:C,"2026",'List Order'!B:B,"Februari",'List Order'!H:H,"Modified",'List Order'!I:I,"Nomor Akses")</f>
        <v>1</v>
      </c>
      <c r="AY6" s="15">
        <f>SUMIFS('List Order'!T:T,'List Order'!C:C,"2026",'List Order'!B:B,"Februari",'List Order'!H:H,"Modified",'List Order'!I:I,"Nomor Akses")</f>
        <v>0</v>
      </c>
      <c r="AZ6" s="3">
        <f>COUNTIFS('List Order'!C:C,"2026",'List Order'!B:B,"Maret",'List Order'!H:H,"Modified",'List Order'!I:I,"Nomor Akses")</f>
        <v>0</v>
      </c>
      <c r="BA6" s="15">
        <f>SUMIFS('List Order'!T:T,'List Order'!C:C,"2026",'List Order'!B:B,"Maret",'List Order'!H:H,"Modified",'List Order'!I:I,"Nomor Akses")</f>
        <v>0</v>
      </c>
      <c r="BB6" s="3">
        <f>COUNTIFS('List Order'!C:C,"2026",'List Order'!B:B,"April",'List Order'!H:H,"Modified",'List Order'!I:I,"Nomor Akses")</f>
        <v>1</v>
      </c>
      <c r="BC6" s="15">
        <f>SUMIFS('List Order'!T:T,'List Order'!C:C,"2026",'List Order'!B:B,"April",'List Order'!H:H,"Modified",'List Order'!I:I,"Nomor Akses")</f>
        <v>0</v>
      </c>
      <c r="BD6" s="3">
        <f>COUNTIFS('List Order'!C:C,"2026",'List Order'!B:B,"Mei",'List Order'!H:H,"Modified",'List Order'!I:I,"Nomor Akses")</f>
        <v>0</v>
      </c>
      <c r="BE6" s="15">
        <f>SUMIFS('List Order'!T:T,'List Order'!C:C,"2026",'List Order'!B:B,"Mei",'List Order'!H:H,"Modified",'List Order'!I:I,"Nomor Akses")</f>
        <v>0</v>
      </c>
      <c r="BF6" s="3">
        <f>COUNTIFS('List Order'!C:C,"2026",'List Order'!B:B,"Juni",'List Order'!H:H,"Modified",'List Order'!I:I,"Nomor Akses")</f>
        <v>0</v>
      </c>
      <c r="BG6" s="15">
        <f>SUMIFS('List Order'!T:T,'List Order'!C:C,"2026",'List Order'!B:B,"Juni",'List Order'!H:H,"Modified",'List Order'!I:I,"Nomor Akses")</f>
        <v>0</v>
      </c>
      <c r="BH6" s="3">
        <f>COUNTIFS('List Order'!C:C,"2026",'List Order'!B:B,"Juni",'List Order'!H:H,"Modified",'List Order'!I:I,"Nomor Akses")</f>
        <v>0</v>
      </c>
      <c r="BI6" s="15">
        <f>SUMIFS('List Order'!T:T,'List Order'!C:C,"2026",'List Order'!B:B,"Juli",'List Order'!H:H,"Modified",'List Order'!I:I,"Nomor Akses")</f>
        <v>0</v>
      </c>
      <c r="BJ6" s="3">
        <f>COUNTIFS('List Order'!C:C,"2026",'List Order'!B:B,"Agustus",'List Order'!H:H,"Modified",'List Order'!I:I,"Nomor Akses")</f>
        <v>0</v>
      </c>
      <c r="BK6" s="15">
        <f>SUMIFS('List Order'!T:T,'List Order'!C:C,"2026",'List Order'!B:B,"Agustus",'List Order'!H:H,"Modified",'List Order'!I:I,"Nomor Akses")</f>
        <v>0</v>
      </c>
      <c r="BL6" s="3">
        <f>COUNTIFS('List Order'!C:C,"2026",'List Order'!B:B,"September",'List Order'!H:H,"Modified",'List Order'!I:I,"Nomor Akses")</f>
        <v>0</v>
      </c>
      <c r="BM6" s="15">
        <f>SUMIFS('List Order'!T:T,'List Order'!C:C,"2026",'List Order'!B:B,"September",'List Order'!H:H,"Modified",'List Order'!I:I,"Nomor Akses")</f>
        <v>0</v>
      </c>
      <c r="BN6" s="3">
        <f>COUNTIFS('List Order'!C:C,"2026",'List Order'!B:B,"Oktober",'List Order'!H:H,"Modified",'List Order'!I:I,"Nomor Akses")</f>
        <v>0</v>
      </c>
      <c r="BO6" s="15">
        <f>SUMIFS('List Order'!T:T,'List Order'!C:C,"2026",'List Order'!B:B,"Oktober",'List Order'!H:H,"Modified",'List Order'!I:I,"Nomor Akses")</f>
        <v>0</v>
      </c>
      <c r="BP6" s="3">
        <f>COUNTIFS('List Order'!C:C,"2026",'List Order'!B:B,"November",'List Order'!H:H,"Modified",'List Order'!I:I,"Nomor Akses")</f>
        <v>0</v>
      </c>
      <c r="BQ6" s="15">
        <f>SUMIFS('List Order'!T:T,'List Order'!C:C,"2026",'List Order'!B:B,"November",'List Order'!H:H,"Modified",'List Order'!I:I,"Nomor Akses")</f>
        <v>0</v>
      </c>
      <c r="BR6" s="3">
        <f>COUNTIFS('List Order'!C:C,"2026",'List Order'!B:B,"Desember",'List Order'!H:H,"Modified",'List Order'!I:I,"Nomor Akses")</f>
        <v>0</v>
      </c>
      <c r="BS6" s="15">
        <f>SUMIFS('List Order'!T:T,'List Order'!C:C,"2026",'List Order'!B:B,"Desember",'List Order'!H:H,"Modified")</f>
        <v>0</v>
      </c>
    </row>
    <row r="7" spans="2:71" ht="15" customHeight="1">
      <c r="B7" s="29"/>
      <c r="C7" s="29"/>
      <c r="D7" s="29"/>
      <c r="E7" s="29"/>
      <c r="F7" s="38"/>
      <c r="G7" s="38"/>
      <c r="H7" s="38"/>
      <c r="I7" s="38"/>
      <c r="AE7" t="s">
        <v>3228</v>
      </c>
      <c r="AF7" s="17">
        <f>SUMIFS('List Project'!I:I,'List Project'!D:D,"Januari",'List Project'!F:F,"CRM",'List Project'!C:C,"2026")</f>
        <v>42051389410.440002</v>
      </c>
      <c r="AG7" s="17">
        <f>SUMIFS('List Project'!I:I,'List Project'!D:D,"Februari",'List Project'!F:F,"CRM",'List Project'!C:C,"2026")</f>
        <v>50059345471.279999</v>
      </c>
      <c r="AH7" s="17">
        <f>SUMIFS('List Project'!I:I,'List Project'!D:D,"Maret",'List Project'!F:F,"CRM",'List Project'!C:C,"2026")</f>
        <v>122904058778</v>
      </c>
      <c r="AI7" s="17">
        <f>SUMIFS('List Project'!I:I,'List Project'!D:D,"April",'List Project'!F:F,"CRM",'List Project'!C:C,"2026")</f>
        <v>890265900</v>
      </c>
      <c r="AJ7" s="17">
        <f>SUMIFS('List Project'!I:I,'List Project'!D:D,"Mei",'List Project'!F:F,"CRM",'List Project'!C:C,"2026")</f>
        <v>137200000</v>
      </c>
      <c r="AK7" s="17">
        <f>SUMIFS('List Project'!I:I,'List Project'!D:D,"Juni",'List Project'!F:F,"CRM",'List Project'!C:C,"2026")</f>
        <v>401920000</v>
      </c>
      <c r="AL7" s="17">
        <f>SUMIFS('List Project'!I:I,'List Project'!D:D,"Juli",'List Project'!F:F,"CRM",'List Project'!C:C,"2026")</f>
        <v>1683908000</v>
      </c>
      <c r="AM7" s="17">
        <f>SUMIFS('List Project'!I:I,'List Project'!D:D,"Agustus",'List Project'!F:F,"CRM",'List Project'!C:C,"2026")</f>
        <v>142144000</v>
      </c>
      <c r="AN7" s="17">
        <f>SUMIFS('List Project'!I:I,'List Project'!D:D,"September",'List Project'!F:F,"CRM",'List Project'!C:C,"2026")</f>
        <v>0</v>
      </c>
      <c r="AO7" s="17">
        <f>SUMIFS('List Project'!I:I,'List Project'!D:D,"Oktober",'List Project'!F:F,"CRM",'List Project'!C:C,"2026")</f>
        <v>0</v>
      </c>
      <c r="AP7" s="17">
        <f>SUMIFS('List Project'!I:I,'List Project'!D:D,"November",'List Project'!F:F,"CRM",'List Project'!C:C,"2026")</f>
        <v>0</v>
      </c>
      <c r="AQ7" s="17">
        <f>SUMIFS('List Project'!I:I,'List Project'!D:D,"Desember",'List Project'!F:F,"CRM",'List Project'!C:C,"2026")</f>
        <v>0</v>
      </c>
      <c r="AR7" s="17">
        <f t="shared" ref="AR7:AR9" si="0">SUM(AF7:AQ7)</f>
        <v>218270231559.72</v>
      </c>
      <c r="AU7" s="1" t="s">
        <v>3229</v>
      </c>
      <c r="AV7" s="3">
        <f>COUNTIFS('List Order'!C:C,"2026",'List Order'!B:B,"Januari",'List Order'!H:H,"Dismantle",'List Order'!I:I,"Nomor Akses")</f>
        <v>5</v>
      </c>
      <c r="AW7" s="15">
        <f>SUMIFS('List Order'!T:T,'List Order'!C:C,"2026",'List Order'!B:B,"Januari",'List Order'!H:H,"Dismantle",'List Order'!I:I,"Nomor Akses")</f>
        <v>0</v>
      </c>
      <c r="AX7" s="3">
        <f>COUNTIFS('List Order'!C:C,"2026",'List Order'!B:B,"Februari",'List Order'!H:H,"Dismantle",'List Order'!I:I,"Nomor Akses")</f>
        <v>0</v>
      </c>
      <c r="AY7" s="15">
        <f>SUMIFS('List Order'!T:T,'List Order'!C:C,"2026",'List Order'!B:B,"Februari",'List Order'!H:H,"Dismantle",'List Order'!I:I,"Nomor Akses")</f>
        <v>0</v>
      </c>
      <c r="AZ7" s="3">
        <f>COUNTIFS('List Order'!C:C,"2026",'List Order'!B:B,"Maret",'List Order'!H:H,"Dismantle",'List Order'!I:I,"Nomor Akses")</f>
        <v>0</v>
      </c>
      <c r="BA7" s="15">
        <f>SUMIFS('List Order'!T:T,'List Order'!C:C,"2026",'List Order'!B:B,"Maret",'List Order'!H:H,"Dismantle",'List Order'!I:I,"Nomor Akses")</f>
        <v>0</v>
      </c>
      <c r="BB7" s="3">
        <f>COUNTIFS('List Order'!C:C,"2026",'List Order'!B:B,"April",'List Order'!H:H,"Dismantle",'List Order'!I:I,"Nomor Akses")</f>
        <v>9</v>
      </c>
      <c r="BC7" s="15">
        <f>SUMIFS('List Order'!T:T,'List Order'!C:C,"2026",'List Order'!B:B,"April",'List Order'!H:H,"Dismantle",'List Order'!I:I,"Nomor Akses")</f>
        <v>0</v>
      </c>
      <c r="BD7" s="3">
        <f>COUNTIFS('List Order'!C:C,"2026",'List Order'!B:B,"Mei",'List Order'!H:H,"Dismantle",'List Order'!I:I,"Nomor Akses")</f>
        <v>2</v>
      </c>
      <c r="BE7" s="15">
        <f>SUMIFS('List Order'!T:T,'List Order'!C:C,"2026",'List Order'!B:B,"Mei",'List Order'!H:H,"Dismantle",'List Order'!I:I,"Nomor Akses")</f>
        <v>0</v>
      </c>
      <c r="BF7" s="3">
        <f>COUNTIFS('List Order'!C:C,"2026",'List Order'!B:B,"Juni",'List Order'!H:H,"Dismantle",'List Order'!I:I,"Nomor Akses")</f>
        <v>5</v>
      </c>
      <c r="BG7" s="15">
        <f>SUMIFS('List Order'!T:T,'List Order'!C:C,"2026",'List Order'!B:B,"Juni",'List Order'!H:H,"Dismantle",'List Order'!I:I,"Nomor Akses")</f>
        <v>0</v>
      </c>
      <c r="BH7" s="3">
        <f>COUNTIFS('List Order'!C:C,"2026",'List Order'!B:B,"Juli",'List Order'!H:H,"Dismantle",'List Order'!I:I,"Nomor Akses")</f>
        <v>5</v>
      </c>
      <c r="BI7" s="15">
        <f>SUMIFS('List Order'!T:T,'List Order'!C:C,"2026",'List Order'!B:B,"Juli",'List Order'!H:H,"Dismantle",'List Order'!I:I,"Nomor Akses")</f>
        <v>0</v>
      </c>
      <c r="BJ7" s="3">
        <f>COUNTIFS('List Order'!C:C,"2026",'List Order'!B:B,"Agustus",'List Order'!H:H,"Dismantle",'List Order'!I:I,"Nomor Akses")</f>
        <v>0</v>
      </c>
      <c r="BK7" s="15">
        <f>SUMIFS('List Order'!T:T,'List Order'!C:C,"2026",'List Order'!B:B,"Agustus",'List Order'!H:H,"Dismantle",'List Order'!I:I,"Nomor Akses")</f>
        <v>0</v>
      </c>
      <c r="BL7" s="3">
        <f>COUNTIFS('List Order'!C:C,"2026",'List Order'!B:B,"September",'List Order'!H:H,"Dismantle",'List Order'!I:I,"Nomor Akses")</f>
        <v>0</v>
      </c>
      <c r="BM7" s="15">
        <f>SUMIFS('List Order'!T:T,'List Order'!C:C,"2026",'List Order'!B:B,"September",'List Order'!H:H,"Dismantle",'List Order'!I:I,"Nomor Akses")</f>
        <v>0</v>
      </c>
      <c r="BN7" s="3">
        <f>COUNTIFS('List Order'!C:C,"2026",'List Order'!B:B,"Oktober",'List Order'!H:H,"Dismantle",'List Order'!I:I,"Nomor Akses")</f>
        <v>0</v>
      </c>
      <c r="BO7" s="15">
        <f>SUMIFS('List Order'!T:T,'List Order'!C:C,"2026",'List Order'!B:B,"Oktober",'List Order'!H:H,"Dismantle",'List Order'!I:I,"Nomor Akses")</f>
        <v>0</v>
      </c>
      <c r="BP7" s="3">
        <f>COUNTIFS('List Order'!C:C,"2026",'List Order'!B:B,"November",'List Order'!H:H,"Dismantle",'List Order'!I:I,"Nomor Akses")</f>
        <v>0</v>
      </c>
      <c r="BQ7" s="15">
        <f>SUMIFS('List Order'!T:T,'List Order'!C:C,"2026",'List Order'!B:B,"November",'List Order'!H:H,"Dismantle",'List Order'!I:I,"Nomor Akses")</f>
        <v>0</v>
      </c>
      <c r="BR7" s="3">
        <f>COUNTIFS('List Order'!C:C,"2026",'List Order'!B:B,"Desember",'List Order'!H:H,"Dismantle",'List Order'!I:I,"Nomor Akses")</f>
        <v>0</v>
      </c>
      <c r="BS7" s="15">
        <f>SUMIFS('List Order'!T:T,'List Order'!C:C,"2026",'List Order'!B:B,"Desember",'List Order'!H:H,"Dismantle")</f>
        <v>0</v>
      </c>
    </row>
    <row r="8" spans="2:71" ht="15" customHeight="1">
      <c r="B8" s="29"/>
      <c r="C8" s="29"/>
      <c r="D8" s="29"/>
      <c r="E8" s="29"/>
      <c r="F8" s="30"/>
      <c r="G8" s="30"/>
      <c r="H8" s="30"/>
      <c r="I8" s="30"/>
      <c r="AE8" t="s">
        <v>3230</v>
      </c>
      <c r="AF8" s="17">
        <f>SUMIFS('List Project'!I:I,'List Project'!D:D,"Januari",'List Project'!F:F,"SSO",'List Project'!C:C,"2026")</f>
        <v>0</v>
      </c>
      <c r="AG8" s="17">
        <f>SUMIFS('List Project'!I:I,'List Project'!D:D,"Februari",'List Project'!F:F,"SSO",'List Project'!C:C,"2026")</f>
        <v>0</v>
      </c>
      <c r="AH8" s="17">
        <f>SUMIFS('List Project'!I:I,'List Project'!D:D,"Maret",'List Project'!F:F,"SSO",'List Project'!C:C,"2026")</f>
        <v>0</v>
      </c>
      <c r="AI8" s="17">
        <f>SUMIFS('List Project'!I:I,'List Project'!D:D,"April",'List Project'!F:F,"SSO",'List Project'!C:C,"2026")</f>
        <v>0</v>
      </c>
      <c r="AJ8" s="17">
        <f>SUMIFS('List Project'!I:I,'List Project'!D:D,"Mei",'List Project'!F:F,"SSO",'List Project'!C:C,"2026")</f>
        <v>0</v>
      </c>
      <c r="AK8" s="17">
        <f>SUMIFS('List Project'!I:I,'List Project'!D:D,"Juni",'List Project'!F:F,"SSO",'List Project'!C:C,"2026")</f>
        <v>0</v>
      </c>
      <c r="AL8" s="17">
        <f>SUMIFS('List Project'!I:I,'List Project'!D:D,"Juli",'List Project'!F:F,"SSO",'List Project'!C:C,"2026")</f>
        <v>0</v>
      </c>
      <c r="AM8" s="17">
        <f>SUMIFS('List Project'!I:I,'List Project'!D:D,"Agustus",'List Project'!F:F,"SSO",'List Project'!C:C,"2026")</f>
        <v>0</v>
      </c>
      <c r="AN8" s="17">
        <f>SUMIFS('List Project'!I:I,'List Project'!D:D,"September",'List Project'!F:F,"SSO",'List Project'!C:C,"2026")</f>
        <v>0</v>
      </c>
      <c r="AO8" s="17">
        <f>SUMIFS('List Project'!I:I,'List Project'!D:D,"Oktober",'List Project'!F:F,"SSO",'List Project'!C:C,"2026")</f>
        <v>0</v>
      </c>
      <c r="AP8" s="17">
        <f>SUMIFS('List Project'!I:I,'List Project'!D:D,"November",'List Project'!F:F,"SSO",'List Project'!C:C,"2026")</f>
        <v>0</v>
      </c>
      <c r="AQ8" s="17">
        <f>SUMIFS('List Project'!I:I,'List Project'!D:D,"Desember",'List Project'!F:F,"SSO",'List Project'!C:C,"2026")</f>
        <v>0</v>
      </c>
      <c r="AR8" s="17">
        <f t="shared" si="0"/>
        <v>0</v>
      </c>
      <c r="AU8" s="8" t="s">
        <v>3231</v>
      </c>
      <c r="AV8" s="9">
        <f>COUNTIFS('List Order'!B:B,"Januari",'List Order'!I:I,"Connectivity",'List Order'!C:C,"2026")</f>
        <v>21</v>
      </c>
      <c r="AW8" s="14">
        <f>SUM(AW9:AW10)</f>
        <v>0</v>
      </c>
      <c r="AX8" s="9">
        <f>COUNTIFS('List Order'!B:B,"Februari",'List Order'!I:I,"Connectivity",'List Order'!C:C,"2026")</f>
        <v>7</v>
      </c>
      <c r="AY8" s="14">
        <f>SUM(AY9:AY10)</f>
        <v>0</v>
      </c>
      <c r="AZ8" s="9">
        <f>COUNTIFS('List Order'!B:B,"Maret",'List Order'!I:I,"Connectivity",'List Order'!C:C,"2026")</f>
        <v>20</v>
      </c>
      <c r="BA8" s="14">
        <f>SUM(BA9:BA10)</f>
        <v>0</v>
      </c>
      <c r="BB8" s="9">
        <f>COUNTIFS('List Order'!B:B,"April",'List Order'!I:I,"Connectivity",'List Order'!C:C,"2026")</f>
        <v>6</v>
      </c>
      <c r="BC8" s="14">
        <f>SUM(BC9:BC10)</f>
        <v>0</v>
      </c>
      <c r="BD8" s="9">
        <f>COUNTIFS('List Order'!B:B,"Mei",'List Order'!I:I,"Connectivity",'List Order'!C:C,"2026")</f>
        <v>9</v>
      </c>
      <c r="BE8" s="14">
        <f>SUM(BE9:BE10)</f>
        <v>0</v>
      </c>
      <c r="BF8" s="9">
        <f>COUNTIFS('List Order'!B:B,"Juni",'List Order'!I:I,"Connectivity",'List Order'!C:C,"2026")</f>
        <v>8</v>
      </c>
      <c r="BG8" s="14">
        <f>SUM(BG9:BG10)</f>
        <v>0</v>
      </c>
      <c r="BH8" s="9">
        <f>COUNTIFS('List Order'!B:B,"Juli",'List Order'!I:I,"Connectivity",'List Order'!C:C,"2026")</f>
        <v>23</v>
      </c>
      <c r="BI8" s="14">
        <f>SUM(BI9:BI10)</f>
        <v>0</v>
      </c>
      <c r="BJ8" s="9">
        <f>COUNTIFS('List Order'!B:B,"Agustus",'List Order'!I:I,"Connectivity",'List Order'!C:C,"2026")</f>
        <v>3</v>
      </c>
      <c r="BK8" s="14">
        <f>SUM(BK9:BK10)</f>
        <v>0</v>
      </c>
      <c r="BL8" s="9">
        <f>COUNTIFS('List Order'!B:B,"September",'List Order'!I:I,"Connectivity",'List Order'!C:C,"2026")</f>
        <v>0</v>
      </c>
      <c r="BM8" s="14">
        <f>SUM(BM9:BM10)</f>
        <v>0</v>
      </c>
      <c r="BN8" s="9">
        <f>COUNTIFS('List Order'!B:B,"Oktober",'List Order'!I:I,"Connectivity",'List Order'!C:C,"2026")</f>
        <v>0</v>
      </c>
      <c r="BO8" s="14">
        <f>SUM(BO9:BO10)</f>
        <v>0</v>
      </c>
      <c r="BP8" s="9">
        <f>COUNTIFS('List Order'!B:B,"November",'List Order'!I:I,"Connectivity",'List Order'!C:C,"2026")</f>
        <v>0</v>
      </c>
      <c r="BQ8" s="14">
        <f>SUM(BQ9:BQ10)</f>
        <v>0</v>
      </c>
      <c r="BR8" s="9">
        <f>COUNTIFS('List Order'!B:B,"Desember",'List Order'!I:I,"Connectivity",'List Order'!C:C,"2026")</f>
        <v>0</v>
      </c>
      <c r="BS8" s="14">
        <f>SUM(BS9:BS10)</f>
        <v>0</v>
      </c>
    </row>
    <row r="9" spans="2:71" ht="15" customHeight="1">
      <c r="B9" s="29"/>
      <c r="C9" s="37"/>
      <c r="D9" s="37"/>
      <c r="E9" s="37"/>
      <c r="F9" s="37"/>
      <c r="G9" s="37"/>
      <c r="H9" s="37"/>
      <c r="I9" s="30"/>
      <c r="AE9" t="s">
        <v>3232</v>
      </c>
      <c r="AF9" s="17">
        <f>SUMIFS('List Project'!I:I,'List Project'!D:D,"Januari",'List Project'!F:F,"Nomor Akses",'List Project'!C:C,"2026")</f>
        <v>0</v>
      </c>
      <c r="AG9" s="17">
        <f>SUMIFS('List Project'!I:I,'List Project'!D:D,"Februari",'List Project'!F:F,"Nomor Akses",'List Project'!C:C,"2026")</f>
        <v>135580000</v>
      </c>
      <c r="AH9" s="17">
        <f>SUMIFS('List Project'!I:I,'List Project'!D:D,"Maret",'List Project'!F:F,"Nomor Akses",'List Project'!C:C,"2026")</f>
        <v>0</v>
      </c>
      <c r="AI9" s="17">
        <f>SUMIFS('List Project'!I:I,'List Project'!D:D,"April",'List Project'!F:F,"Nomor Akses",'List Project'!C:C,"2026")</f>
        <v>0</v>
      </c>
      <c r="AJ9" s="17">
        <f>SUMIFS('List Project'!I:I,'List Project'!D:D,"Mei",'List Project'!F:F,"Nomor Akses",'List Project'!C:C,"2026")</f>
        <v>0</v>
      </c>
      <c r="AK9" s="17">
        <f>SUMIFS('List Project'!I:I,'List Project'!D:D,"Juni",'List Project'!F:F,"Nomor Akses",'List Project'!C:C,"2026")</f>
        <v>0</v>
      </c>
      <c r="AL9" s="17">
        <f>SUMIFS('List Project'!I:I,'List Project'!D:D,"Juli",'List Project'!F:F,"Nomor Akses",'List Project'!C:C,"2026")</f>
        <v>0</v>
      </c>
      <c r="AM9" s="17">
        <f>SUMIFS('List Project'!I:I,'List Project'!D:D,"Agustus",'List Project'!F:F,"Nomor Akses",'List Project'!C:C,"2026")</f>
        <v>0</v>
      </c>
      <c r="AN9" s="17">
        <f>SUMIFS('List Project'!I:I,'List Project'!D:D,"September",'List Project'!F:F,"Nomor Akses",'List Project'!C:C,"2026")</f>
        <v>0</v>
      </c>
      <c r="AO9" s="17">
        <f>SUMIFS('List Project'!I:I,'List Project'!D:D,"Oktober",'List Project'!F:F,"Nomor Akses",'List Project'!C:C,"2026")</f>
        <v>0</v>
      </c>
      <c r="AP9" s="17">
        <f>SUMIFS('List Project'!I:I,'List Project'!D:D,"November",'List Project'!F:F,"Nomor Akses",'List Project'!C:C,"2026")</f>
        <v>0</v>
      </c>
      <c r="AQ9" s="17">
        <f>SUMIFS('List Project'!I:I,'List Project'!D:D,"Desember",'List Project'!F:F,"Nomor Akses",'List Project'!C:C,"2026")</f>
        <v>0</v>
      </c>
      <c r="AR9" s="17">
        <f t="shared" si="0"/>
        <v>135580000</v>
      </c>
      <c r="AU9" s="1" t="s">
        <v>1633</v>
      </c>
      <c r="AV9" s="3">
        <f>COUNTIFS('List Order'!C:C,"2026",'List Order'!B:B,"Januari",'List Order'!H:H,"PSB",'List Order'!I:I,"Connectivity")</f>
        <v>6</v>
      </c>
      <c r="AW9" s="15">
        <f>SUMIFS('List Order'!T:T,'List Order'!C:C,"2026",'List Order'!B:B,"Januari",'List Order'!H:H,"PSB",'List Order'!I:I,"Connectivity")</f>
        <v>0</v>
      </c>
      <c r="AX9" s="3">
        <f>COUNTIFS('List Order'!C:C,"2026",'List Order'!B:B,"Februari",'List Order'!H:H,"PSB",'List Order'!I:I,"Connectivity")</f>
        <v>3</v>
      </c>
      <c r="AY9" s="15">
        <f>SUMIFS('List Order'!T:T,'List Order'!C:C,"2026",'List Order'!B:B,"Februari",'List Order'!H:H,"PSB",'List Order'!I:I,"Connectivity")</f>
        <v>0</v>
      </c>
      <c r="AZ9" s="3">
        <f>COUNTIFS('List Order'!C:C,"2026",'List Order'!B:B,"Maret",'List Order'!H:H,"PSB",'List Order'!I:I,"Connectivity")</f>
        <v>15</v>
      </c>
      <c r="BA9" s="15">
        <f>SUMIFS('List Order'!T:T,'List Order'!C:C,"2026",'List Order'!B:B,"Maret",'List Order'!H:H,"PSB",'List Order'!I:I,"Connectivity")</f>
        <v>0</v>
      </c>
      <c r="BB9" s="3">
        <f>COUNTIFS('List Order'!C:C,"2026",'List Order'!B:B,"April",'List Order'!H:H,"PSB",'List Order'!I:I,"Connectivity")</f>
        <v>0</v>
      </c>
      <c r="BC9" s="15">
        <f>SUMIFS('List Order'!T:T,'List Order'!C:C,"2026",'List Order'!B:B,"April",'List Order'!H:H,"PSB",'List Order'!I:I,"Connectivity")</f>
        <v>0</v>
      </c>
      <c r="BD9" s="3">
        <f>COUNTIFS('List Order'!C:C,"2026",'List Order'!B:B,"Mei",'List Order'!H:H,"PSB",'List Order'!I:I,"Connectivity")</f>
        <v>2</v>
      </c>
      <c r="BE9" s="15">
        <f>SUMIFS('List Order'!T:T,'List Order'!C:C,"2026",'List Order'!B:B,"Mei",'List Order'!H:H,"PSB",'List Order'!I:I,"Connectivity")</f>
        <v>0</v>
      </c>
      <c r="BF9" s="3">
        <f>COUNTIFS('List Order'!C:C,"2026",'List Order'!B:B,"Juni",'List Order'!H:H,"PSB",'List Order'!I:I,"Connectivity")</f>
        <v>0</v>
      </c>
      <c r="BG9" s="15">
        <f>SUMIFS('List Order'!T:T,'List Order'!C:C,"2026",'List Order'!B:B,"Juni",'List Order'!H:H,"PSB",'List Order'!I:I,"Connectivity")</f>
        <v>0</v>
      </c>
      <c r="BH9" s="3">
        <f>COUNTIFS('List Order'!C:C,"2026",'List Order'!B:B,"Juli",'List Order'!H:H,"PSB",'List Order'!I:I,"Connectivity")</f>
        <v>9</v>
      </c>
      <c r="BI9" s="15">
        <f>SUMIFS('List Order'!T:T,'List Order'!C:C,"2026",'List Order'!B:B,"Juli",'List Order'!H:H,"PSB",'List Order'!I:I,"Connectivity")</f>
        <v>0</v>
      </c>
      <c r="BJ9" s="3">
        <f>COUNTIFS('List Order'!C:C,"2026",'List Order'!B:B,"Agustus",'List Order'!H:H,"PSB",'List Order'!I:I,"Connectivity")</f>
        <v>2</v>
      </c>
      <c r="BK9" s="15">
        <f>SUMIFS('List Order'!T:T,'List Order'!C:C,"2026",'List Order'!B:B,"Agustus",'List Order'!H:H,"PSB",'List Order'!I:I,"Connectivity")</f>
        <v>0</v>
      </c>
      <c r="BL9" s="3">
        <f>COUNTIFS('List Order'!C:C,"2026",'List Order'!B:B,"September",'List Order'!H:H,"PSB",'List Order'!I:I,"Connectivity")</f>
        <v>0</v>
      </c>
      <c r="BM9" s="15">
        <f>SUMIFS('List Order'!T:T,'List Order'!C:C,"2026",'List Order'!B:B,"September",'List Order'!H:H,"PSB",'List Order'!I:I,"Connectivity")</f>
        <v>0</v>
      </c>
      <c r="BN9" s="3">
        <f>COUNTIFS('List Order'!C:C,"2026",'List Order'!B:B,"Oktober",'List Order'!H:H,"PSB",'List Order'!I:I,"Connectivity")</f>
        <v>0</v>
      </c>
      <c r="BO9" s="15">
        <f>SUMIFS('List Order'!T:T,'List Order'!C:C,"2026",'List Order'!B:B,"Oktober",'List Order'!H:H,"PSB",'List Order'!I:I,"Connectivity")</f>
        <v>0</v>
      </c>
      <c r="BP9" s="3">
        <f>COUNTIFS('List Order'!C:C,"2026",'List Order'!B:B,"November",'List Order'!H:H,"PSB",'List Order'!I:I,"Connectivity")</f>
        <v>0</v>
      </c>
      <c r="BQ9" s="15">
        <f>SUMIFS('List Order'!T:T,'List Order'!C:C,"2026",'List Order'!B:B,"November",'List Order'!H:H,"PSB",'List Order'!I:I,"Connectivity")</f>
        <v>0</v>
      </c>
      <c r="BR9" s="3">
        <f>COUNTIFS('List Order'!C:C,"2026",'List Order'!B:B,"Desember",'List Order'!H:H,"PSB",'List Order'!I:I,"Connectivity")</f>
        <v>0</v>
      </c>
      <c r="BS9" s="15">
        <f>SUMIFS('List Order'!T:T,'List Order'!C:C,"2026",'List Order'!B:B,"Desember",'List Order'!H:H,"PSB",'List Order'!I:I,"Connectivity")</f>
        <v>0</v>
      </c>
    </row>
    <row r="10" spans="2:71" ht="15" customHeight="1">
      <c r="B10" s="29"/>
      <c r="C10" s="37"/>
      <c r="D10" s="37"/>
      <c r="E10" s="37"/>
      <c r="F10" s="37"/>
      <c r="G10" s="37"/>
      <c r="H10" s="37"/>
      <c r="I10" s="30"/>
      <c r="AU10" s="1" t="s">
        <v>1135</v>
      </c>
      <c r="AV10" s="3">
        <f>COUNTIFS('List Order'!C:C,"2026",'List Order'!B:B,"Januari",'List Order'!H:H,"Upgrade",'List Order'!I:I,"Connectivity")</f>
        <v>1</v>
      </c>
      <c r="AW10" s="15">
        <f>SUMIFS('List Order'!T:T,'List Order'!C:C,"2026",'List Order'!B:B,"Januari",'List Order'!H:H,"Upgrade",'List Order'!I:I,"Connectivity")</f>
        <v>0</v>
      </c>
      <c r="AX10" s="3">
        <f>COUNTIFS('List Order'!C:C,"2026",'List Order'!B:B,"Februari",'List Order'!H:H,"Upgrade",'List Order'!I:I,"Connectivity")</f>
        <v>1</v>
      </c>
      <c r="AY10" s="15">
        <f>SUMIFS('List Order'!T:T,'List Order'!C:C,"2026",'List Order'!B:B,"Februari",'List Order'!H:H,"Upgrade",'List Order'!I:I,"Connectivity")</f>
        <v>0</v>
      </c>
      <c r="AZ10" s="3">
        <f>COUNTIFS('List Order'!C:C,"2026",'List Order'!B:B,"Maret",'List Order'!H:H,"Upgrade",'List Order'!I:I,"Connectivity")</f>
        <v>0</v>
      </c>
      <c r="BA10" s="15">
        <f>SUMIFS('List Order'!T:T,'List Order'!C:C,"2026",'List Order'!B:B,"Maret",'List Order'!H:H,"Upgrade",'List Order'!I:I,"Connectivity")</f>
        <v>0</v>
      </c>
      <c r="BB10" s="3">
        <f>COUNTIFS('List Order'!C:C,"2026",'List Order'!B:B,"April",'List Order'!H:H,"Upgrade",'List Order'!I:I,"Connectivity")</f>
        <v>0</v>
      </c>
      <c r="BC10" s="15">
        <f>SUMIFS('List Order'!T:T,'List Order'!C:C,"2026",'List Order'!B:B,"April",'List Order'!H:H,"Upgrade",'List Order'!I:I,"Connectivity")</f>
        <v>0</v>
      </c>
      <c r="BD10" s="3">
        <f>COUNTIFS('List Order'!C:C,"2026",'List Order'!B:B,"Mei",'List Order'!H:H,"Upgrade",'List Order'!I:I,"Connectivity")</f>
        <v>3</v>
      </c>
      <c r="BE10" s="15">
        <f>SUMIFS('List Order'!T:T,'List Order'!C:C,"2026",'List Order'!B:B,"Mei",'List Order'!H:H,"Upgrade",'List Order'!I:I,"Connectivity")</f>
        <v>0</v>
      </c>
      <c r="BF10" s="3">
        <f>COUNTIFS('List Order'!C:C,"2026",'List Order'!B:B,"Juni",'List Order'!H:H,"Upgrade",'List Order'!I:I,"Connectivity")</f>
        <v>2</v>
      </c>
      <c r="BG10" s="15">
        <f>SUMIFS('List Order'!T:T,'List Order'!C:C,"2026",'List Order'!B:B,"Juni",'List Order'!H:H,"Upgrade",'List Order'!I:I,"Connectivity")</f>
        <v>0</v>
      </c>
      <c r="BH10" s="3">
        <f>COUNTIFS('List Order'!C:C,"2026",'List Order'!B:B,"Juli",'List Order'!H:H,"Upgrade",'List Order'!I:I,"Connectivity")</f>
        <v>0</v>
      </c>
      <c r="BI10" s="15">
        <f>SUMIFS('List Order'!T:T,'List Order'!C:C,"2026",'List Order'!B:B,"Juli",'List Order'!H:H,"Upgrade",'List Order'!I:I,"Connectivity")</f>
        <v>0</v>
      </c>
      <c r="BJ10" s="3">
        <f>COUNTIFS('List Order'!C:C,"2026",'List Order'!B:B,"Agustus",'List Order'!H:H,"Upgrade",'List Order'!I:I,"Connectivity")</f>
        <v>0</v>
      </c>
      <c r="BK10" s="15">
        <f>SUMIFS('List Order'!T:T,'List Order'!C:C,"2026",'List Order'!B:B,"Agustus",'List Order'!H:H,"Upgrade",'List Order'!I:I,"Connectivity")</f>
        <v>0</v>
      </c>
      <c r="BL10" s="3">
        <f>COUNTIFS('List Order'!C:C,"2026",'List Order'!B:B,"September",'List Order'!H:H,"Upgrade",'List Order'!I:I,"Connectivity")</f>
        <v>0</v>
      </c>
      <c r="BM10" s="15">
        <f>SUMIFS('List Order'!T:T,'List Order'!C:C,"2026",'List Order'!B:B,"September",'List Order'!H:H,"Upgrade",'List Order'!I:I,"Connectivity")</f>
        <v>0</v>
      </c>
      <c r="BN10" s="3">
        <f>COUNTIFS('List Order'!C:C,"2026",'List Order'!B:B,"Oktober",'List Order'!H:H,"Upgrade",'List Order'!I:I,"Connectivity")</f>
        <v>0</v>
      </c>
      <c r="BO10" s="15">
        <f>SUMIFS('List Order'!T:T,'List Order'!C:C,"2026",'List Order'!B:B,"Oktober",'List Order'!H:H,"Upgrade",'List Order'!I:I,"Connectivity")</f>
        <v>0</v>
      </c>
      <c r="BP10" s="3">
        <f>COUNTIFS('List Order'!C:C,"2026",'List Order'!B:B,"November",'List Order'!H:H,"Upgrade",'List Order'!I:I,"Connectivity")</f>
        <v>0</v>
      </c>
      <c r="BQ10" s="15">
        <f>SUMIFS('List Order'!T:T,'List Order'!C:C,"2026",'List Order'!B:B,"November",'List Order'!H:H,"Upgrade",'List Order'!I:I,"Connectivity")</f>
        <v>0</v>
      </c>
      <c r="BR10" s="3">
        <f>COUNTIFS('List Order'!C:C,"2026",'List Order'!B:B,"Desember",'List Order'!H:H,"Upgrade",'List Order'!I:I,"Connectivity")</f>
        <v>0</v>
      </c>
      <c r="BS10" s="15">
        <f>SUMIFS('List Order'!T:T,'List Order'!C:C,"2026",'List Order'!B:B,"Desember",'List Order'!H:H,"Upgrade",'List Order'!I:I,"Connectivity")</f>
        <v>0</v>
      </c>
    </row>
    <row r="11" spans="2:71" ht="15" customHeight="1">
      <c r="B11" s="29"/>
      <c r="C11" s="31"/>
      <c r="D11" s="31"/>
      <c r="E11" s="31"/>
      <c r="F11" s="31"/>
      <c r="G11" s="31"/>
      <c r="H11" s="31"/>
      <c r="I11" s="30"/>
      <c r="AE11" s="13"/>
      <c r="AF11" s="13" t="s">
        <v>23</v>
      </c>
      <c r="AG11" s="13" t="s">
        <v>96</v>
      </c>
      <c r="AH11" s="13" t="s">
        <v>144</v>
      </c>
      <c r="AI11" s="13" t="s">
        <v>183</v>
      </c>
      <c r="AJ11" s="13" t="s">
        <v>212</v>
      </c>
      <c r="AK11" s="13" t="s">
        <v>261</v>
      </c>
      <c r="AL11" s="13" t="s">
        <v>274</v>
      </c>
      <c r="AM11" s="13" t="s">
        <v>303</v>
      </c>
      <c r="AN11" s="13" t="s">
        <v>338</v>
      </c>
      <c r="AO11" s="13" t="s">
        <v>358</v>
      </c>
      <c r="AP11" s="13" t="s">
        <v>384</v>
      </c>
      <c r="AQ11" s="13" t="s">
        <v>408</v>
      </c>
      <c r="AU11" s="1" t="s">
        <v>1556</v>
      </c>
      <c r="AV11" s="3">
        <f>COUNTIFS('List Order'!C:C,"2026",'List Order'!B:B,"Januari",'List Order'!H:H,"Downgrade",'List Order'!I:I,"Connectivity")</f>
        <v>0</v>
      </c>
      <c r="AW11" s="15">
        <f>SUMIFS('List Order'!T:T,'List Order'!C:C,"2026",'List Order'!B:B,"Januari",'List Order'!H:H,"Downgrade",'List Order'!I:I,"Connectivity")</f>
        <v>0</v>
      </c>
      <c r="AX11" s="3">
        <f>COUNTIFS('List Order'!C:C,"2026",'List Order'!B:B,"Februari",'List Order'!H:H,"Downgrade",'List Order'!I:I,"Connectivity")</f>
        <v>0</v>
      </c>
      <c r="AY11" s="15">
        <f>SUMIFS('List Order'!T:T,'List Order'!C:C,"2026",'List Order'!B:B,"Februari",'List Order'!H:H,"Downgrade",'List Order'!I:I,"Connectivity")</f>
        <v>0</v>
      </c>
      <c r="AZ11" s="3">
        <f>COUNTIFS('List Order'!C:C,"2026",'List Order'!B:B,"Maret",'List Order'!H:H,"Downgrade",'List Order'!I:I,"Connectivity")</f>
        <v>0</v>
      </c>
      <c r="BA11" s="15">
        <f>SUMIFS('List Order'!T:T,'List Order'!C:C,"2026",'List Order'!B:B,"Maret",'List Order'!H:H,"Downgrade",'List Order'!I:I,"Connectivity")</f>
        <v>0</v>
      </c>
      <c r="BB11" s="3">
        <f>COUNTIFS('List Order'!C:C,"2026",'List Order'!B:B,"April",'List Order'!H:H,"Downgrade",'List Order'!I:I,"Connectivity")</f>
        <v>0</v>
      </c>
      <c r="BC11" s="15">
        <f>SUMIFS('List Order'!T:T,'List Order'!C:C,"2026",'List Order'!B:B,"April",'List Order'!H:H,"Downgrade",'List Order'!I:I,"Connectivity")</f>
        <v>0</v>
      </c>
      <c r="BD11" s="3">
        <f>COUNTIFS('List Order'!C:C,"2026",'List Order'!B:B,"Mei",'List Order'!H:H,"Downgrade",'List Order'!I:I,"Connectivity")</f>
        <v>0</v>
      </c>
      <c r="BE11" s="15">
        <f>SUMIFS('List Order'!T:T,'List Order'!C:C,"2026",'List Order'!B:B,"Mei",'List Order'!H:H,"Downgrade",'List Order'!I:I,"Connectivity")</f>
        <v>0</v>
      </c>
      <c r="BF11" s="3">
        <f>COUNTIFS('List Order'!C:C,"2026",'List Order'!B:B,"Juni",'List Order'!H:H,"Downgrade",'List Order'!I:I,"Connectivity")</f>
        <v>0</v>
      </c>
      <c r="BG11" s="15">
        <f>SUMIFS('List Order'!T:T,'List Order'!C:C,"2026",'List Order'!B:B,"Juni",'List Order'!H:H,"Downgrade",'List Order'!I:I,"Connectivity")</f>
        <v>0</v>
      </c>
      <c r="BH11" s="3">
        <f>COUNTIFS('List Order'!C:C,"2026",'List Order'!B:B,"Juli",'List Order'!H:H,"Downgrade",'List Order'!I:I,"Connectivity")</f>
        <v>1</v>
      </c>
      <c r="BI11" s="15">
        <f>SUMIFS('List Order'!T:T,'List Order'!C:C,"2026",'List Order'!B:B,"Juli",'List Order'!H:H,"Downgrade",'List Order'!I:I,"Connectivity")</f>
        <v>0</v>
      </c>
      <c r="BJ11" s="3">
        <f>COUNTIFS('List Order'!C:C,"2026",'List Order'!B:B,"Agustus",'List Order'!H:H,"Downgrade",'List Order'!I:I,"Connectivity")</f>
        <v>0</v>
      </c>
      <c r="BK11" s="15">
        <f>SUMIFS('List Order'!T:T,'List Order'!C:C,"2026",'List Order'!B:B,"Agustus",'List Order'!H:H,"Downgrade",'List Order'!I:I,"Connectivity")</f>
        <v>0</v>
      </c>
      <c r="BL11" s="3">
        <f>COUNTIFS('List Order'!C:C,"2026",'List Order'!B:B,"September",'List Order'!H:H,"Downgrade",'List Order'!I:I,"Connectivity")</f>
        <v>0</v>
      </c>
      <c r="BM11" s="15">
        <f>SUMIFS('List Order'!T:T,'List Order'!C:C,"2026",'List Order'!B:B,"September",'List Order'!H:H,"Downgrade",'List Order'!I:I,"Connectivity")</f>
        <v>0</v>
      </c>
      <c r="BN11" s="3">
        <f>COUNTIFS('List Order'!C:C,"2026",'List Order'!B:B,"Oktober",'List Order'!H:H,"Downgrade",'List Order'!I:I,"Connectivity")</f>
        <v>0</v>
      </c>
      <c r="BO11" s="15">
        <f>SUMIFS('List Order'!T:T,'List Order'!C:C,"2026",'List Order'!B:B,"Oktober",'List Order'!H:H,"Downgrade",'List Order'!I:I,"Connectivity")</f>
        <v>0</v>
      </c>
      <c r="BP11" s="3">
        <f>COUNTIFS('List Order'!C:C,"2026",'List Order'!B:B,"November",'List Order'!H:H,"Downgrade",'List Order'!I:I,"Connectivity")</f>
        <v>0</v>
      </c>
      <c r="BQ11" s="15">
        <f>SUMIFS('List Order'!T:T,'List Order'!C:C,"2026",'List Order'!B:B,"November",'List Order'!H:H,"Downgrade",'List Order'!I:I,"Connectivity")</f>
        <v>0</v>
      </c>
      <c r="BR11" s="3">
        <f>COUNTIFS('List Order'!C:C,"2026",'List Order'!B:B,"Desember",'List Order'!H:H,"Downgrade",'List Order'!I:I,"Connectivity")</f>
        <v>0</v>
      </c>
      <c r="BS11" s="15">
        <f>SUMIFS('List Order'!T:T,'List Order'!C:C,"2026",'List Order'!B:B,"Desember",'List Order'!H:H,"Downgrade",'List Order'!I:I,"Connectivity")</f>
        <v>0</v>
      </c>
    </row>
    <row r="12" spans="2:71" ht="15" customHeight="1">
      <c r="B12" s="29"/>
      <c r="C12" s="32"/>
      <c r="D12" s="33"/>
      <c r="E12" s="32"/>
      <c r="F12" s="33"/>
      <c r="G12" s="32"/>
      <c r="H12" s="33"/>
      <c r="I12" s="30"/>
      <c r="AE12" t="s">
        <v>3222</v>
      </c>
      <c r="AF12" s="18">
        <f>SUMIFS('List Project'!I:I,'List Project'!D:D,"Januari",'List Project'!C:C,"2026")</f>
        <v>42051389410.440002</v>
      </c>
      <c r="AG12" s="18">
        <f>SUMIFS('List Project'!I:I,'List Project'!D:D,"Februari",'List Project'!C:C,"2026")</f>
        <v>50194925471.279999</v>
      </c>
      <c r="AH12" s="18">
        <f>SUMIFS('List Project'!I:I,'List Project'!D:D,"Maret",'List Project'!C:C,"2026")</f>
        <v>122904058778</v>
      </c>
      <c r="AI12" s="18">
        <f>SUMIFS('List Project'!I:I,'List Project'!D:D,"April",'List Project'!C:C,"2026")</f>
        <v>890265900</v>
      </c>
      <c r="AJ12" s="18">
        <f>SUMIFS('List Project'!I:I,'List Project'!D:D,"Mei",'List Project'!C:C,"2026")</f>
        <v>137200000</v>
      </c>
      <c r="AK12" s="18">
        <f>SUMIFS('List Project'!I:I,'List Project'!D:D,"Juni",'List Project'!C:C,"2026")</f>
        <v>401920000</v>
      </c>
      <c r="AL12" s="18">
        <f>SUMIFS('List Project'!I:I,'List Project'!D:D,"Juli",'List Project'!C:C,"2026")</f>
        <v>1683908000</v>
      </c>
      <c r="AM12" s="18">
        <f>SUMIFS('List Project'!I:I,'List Project'!D:D,"Agustus",'List Project'!C:C,"2026")</f>
        <v>142144000</v>
      </c>
      <c r="AN12" s="18">
        <f>SUMIFS('List Project'!I:I,'List Project'!D:D,"September",'List Project'!C:C,"2026")</f>
        <v>0</v>
      </c>
      <c r="AO12" s="18">
        <f>SUMIFS('List Project'!I:I,'List Project'!D:D,"Oktober",'List Project'!C:C,"2026")</f>
        <v>0</v>
      </c>
      <c r="AP12" s="18">
        <f>SUMIFS('List Project'!I:I,'List Project'!D:D,"November",'List Project'!C:C,"2026")</f>
        <v>0</v>
      </c>
      <c r="AQ12" s="18">
        <f>SUMIFS('List Project'!I:I,'List Project'!D:D,"Desember",'List Project'!C:C,"2026")</f>
        <v>0</v>
      </c>
      <c r="AU12" s="4" t="s">
        <v>3229</v>
      </c>
      <c r="AV12" s="5">
        <f>COUNTIFS('List Order'!C:C,"2026",'List Order'!B:B,"Januari",'List Order'!H:H,"Dismantle",'List Order'!I:I,"Connectivity")</f>
        <v>5</v>
      </c>
      <c r="AW12" s="16">
        <f>SUMIFS('List Order'!T:T,'List Order'!C:C,"2026",'List Order'!B:B,"Januari",'List Order'!H:H,"Dismantle",'List Order'!I:I,"Connectivity")</f>
        <v>0</v>
      </c>
      <c r="AX12" s="5">
        <f>COUNTIFS('List Order'!C:C,"2026",'List Order'!B:B,"Februari",'List Order'!H:H,"Dismantle",'List Order'!I:I,"Connectivity")</f>
        <v>1</v>
      </c>
      <c r="AY12" s="16">
        <f>SUMIFS('List Order'!T:T,'List Order'!C:C,"2026",'List Order'!B:B,"Februari",'List Order'!H:H,"Dismantle",'List Order'!I:I,"Connectivity")</f>
        <v>0</v>
      </c>
      <c r="AZ12" s="5">
        <f>COUNTIFS('List Order'!C:C,"2026",'List Order'!B:B,"Maret",'List Order'!H:H,"Dismantle",'List Order'!I:I,"Connectivity")</f>
        <v>2</v>
      </c>
      <c r="BA12" s="16">
        <f>SUMIFS('List Order'!T:T,'List Order'!C:C,"2026",'List Order'!B:B,"Maret",'List Order'!H:H,"Dismantle",'List Order'!I:I,"Connectivity")</f>
        <v>0</v>
      </c>
      <c r="BB12" s="5">
        <f>COUNTIFS('List Order'!C:C,"2026",'List Order'!B:B,"April",'List Order'!H:H,"Dismantle",'List Order'!I:I,"Connectivity")</f>
        <v>6</v>
      </c>
      <c r="BC12" s="16">
        <f>SUMIFS('List Order'!T:T,'List Order'!C:C,"2026",'List Order'!B:B,"April",'List Order'!H:H,"Dismantle",'List Order'!I:I,"Connectivity")</f>
        <v>0</v>
      </c>
      <c r="BD12" s="5">
        <f>COUNTIFS('List Order'!C:C,"2026",'List Order'!B:B,"Mei",'List Order'!H:H,"Dismantle",'List Order'!I:I,"Connectivity")</f>
        <v>1</v>
      </c>
      <c r="BE12" s="16">
        <f>SUMIFS('List Order'!T:T,'List Order'!C:C,"2026",'List Order'!B:B,"Mei",'List Order'!H:H,"Dismantle",'List Order'!I:I,"Connectivity")</f>
        <v>0</v>
      </c>
      <c r="BF12" s="5">
        <f>COUNTIFS('List Order'!C:C,"2026",'List Order'!B:B,"Juni",'List Order'!H:H,"Dismantle",'List Order'!I:I,"Connectivity")</f>
        <v>3</v>
      </c>
      <c r="BG12" s="16">
        <f>SUMIFS('List Order'!T:T,'List Order'!C:C,"2026",'List Order'!B:B,"Juni",'List Order'!H:H,"Dismantle",'List Order'!I:I,"Connectivity")</f>
        <v>0</v>
      </c>
      <c r="BH12" s="5">
        <f>COUNTIFS('List Order'!C:C,"2026",'List Order'!B:B,"Juli",'List Order'!H:H,"Dismantle",'List Order'!I:I,"Connectivity")</f>
        <v>9</v>
      </c>
      <c r="BI12" s="16">
        <f>SUMIFS('List Order'!T:T,'List Order'!C:C,"2026",'List Order'!B:B,"Juli",'List Order'!H:H,"Dismantle",'List Order'!I:I,"Connectivity")</f>
        <v>0</v>
      </c>
      <c r="BJ12" s="5">
        <f>COUNTIFS('List Order'!C:C,"2026",'List Order'!B:B,"Agustus",'List Order'!H:H,"Dismantle",'List Order'!I:I,"Connectivity")</f>
        <v>1</v>
      </c>
      <c r="BK12" s="16">
        <f>SUMIFS('List Order'!T:T,'List Order'!C:C,"2026",'List Order'!B:B,"Agustus",'List Order'!H:H,"Dismantle",'List Order'!I:I,"Connectivity")</f>
        <v>0</v>
      </c>
      <c r="BL12" s="5">
        <f>COUNTIFS('List Order'!C:C,"2026",'List Order'!B:B,"September",'List Order'!H:H,"Dismantle",'List Order'!I:I,"Connectivity")</f>
        <v>0</v>
      </c>
      <c r="BM12" s="16">
        <f>SUMIFS('List Order'!T:T,'List Order'!C:C,"2026",'List Order'!B:B,"September",'List Order'!H:H,"Dismantle",'List Order'!I:I,"Connectivity")</f>
        <v>0</v>
      </c>
      <c r="BN12" s="5">
        <f>COUNTIFS('List Order'!C:C,"2026",'List Order'!B:B,"Oktober",'List Order'!H:H,"Dismantle",'List Order'!I:I,"Connectivity")</f>
        <v>0</v>
      </c>
      <c r="BO12" s="16">
        <f>SUMIFS('List Order'!T:T,'List Order'!C:C,"2026",'List Order'!B:B,"Oktober",'List Order'!H:H,"Dismantle",'List Order'!I:I,"Connectivity")</f>
        <v>0</v>
      </c>
      <c r="BP12" s="5">
        <f>COUNTIFS('List Order'!C:C,"2026",'List Order'!B:B,"November",'List Order'!H:H,"Dismantle",'List Order'!I:I,"Connectivity")</f>
        <v>0</v>
      </c>
      <c r="BQ12" s="16">
        <f>SUMIFS('List Order'!T:T,'List Order'!C:C,"2026",'List Order'!B:B,"November",'List Order'!H:H,"Dismantle",'List Order'!I:I,"Connectivity")</f>
        <v>0</v>
      </c>
      <c r="BR12" s="5">
        <f>COUNTIFS('List Order'!C:C,"2026",'List Order'!B:B,"Desember",'List Order'!H:H,"Dismantle",'List Order'!I:I,"Connectivity")</f>
        <v>0</v>
      </c>
      <c r="BS12" s="16">
        <f>SUMIFS('List Order'!T:T,'List Order'!C:C,"2026",'List Order'!B:B,"Desember",'List Order'!H:H,"Dismantle",'List Order'!I:I,"Connectivity")</f>
        <v>0</v>
      </c>
    </row>
    <row r="13" spans="2:71" ht="15" customHeight="1">
      <c r="B13" s="29"/>
      <c r="C13" s="29"/>
      <c r="D13" s="29"/>
      <c r="E13" s="29"/>
      <c r="F13" s="30"/>
      <c r="G13" s="30"/>
      <c r="H13" s="30"/>
      <c r="I13" s="30"/>
      <c r="AE13" t="s">
        <v>25</v>
      </c>
      <c r="AF13">
        <f>COUNTIFS('List Project'!C:C,"2026",'List Project'!D:D,"Januari",'List Project'!F:F,"CRM")</f>
        <v>11</v>
      </c>
      <c r="AG13">
        <f>COUNTIFS('List Project'!C:C,"2026",'List Project'!D:D,"Februari",'List Project'!F:F,"CRM")</f>
        <v>8</v>
      </c>
      <c r="AH13">
        <f>COUNTIFS('List Project'!C:C,"2026",'List Project'!D:D,"Maret",'List Project'!F:F,"CRM")</f>
        <v>8</v>
      </c>
      <c r="AI13">
        <f>COUNTIFS('List Project'!C:C,"2026",'List Project'!D:D,"April",'List Project'!F:F,"CRM")</f>
        <v>2</v>
      </c>
      <c r="AJ13">
        <f>COUNTIFS('List Project'!C:C,"2026",'List Project'!D:D,"Mei",'List Project'!F:F,"CRM")</f>
        <v>2</v>
      </c>
      <c r="AK13">
        <f>COUNTIFS('List Project'!C:C,"2026",'List Project'!D:D,"Juni",'List Project'!F:F,"CRM")</f>
        <v>5</v>
      </c>
      <c r="AL13">
        <f>COUNTIFS('List Project'!C:C,"2026",'List Project'!D:D,"Juli",'List Project'!F:F,"CRM")</f>
        <v>9</v>
      </c>
      <c r="AM13">
        <f>COUNTIFS('List Project'!C:C,"2026",'List Project'!D:D,"Agustus",'List Project'!F:F,"CRM")</f>
        <v>2</v>
      </c>
      <c r="AN13">
        <f>COUNTIFS('List Project'!C:C,"2026",'List Project'!D:D,"September",'List Project'!F:F,"CRM")</f>
        <v>0</v>
      </c>
      <c r="AO13">
        <f>COUNTIFS('List Project'!C:C,"2026",'List Project'!D:D,"Oktober",'List Project'!F:F,"CRM")</f>
        <v>0</v>
      </c>
      <c r="AP13">
        <f>COUNTIFS('List Project'!C:C,"2026",'List Project'!D:D,"November",'List Project'!F:F,"CRM")</f>
        <v>0</v>
      </c>
      <c r="AQ13">
        <f>COUNTIFS('List Project'!C:C,"2026",'List Project'!D:D,"Desember",'List Project'!F:F,"CRM")</f>
        <v>0</v>
      </c>
      <c r="AU13" s="10" t="s">
        <v>3233</v>
      </c>
      <c r="AV13" s="9">
        <f>COUNTIFS('List Order'!B:B,"Januari",'List Order'!I:I,"IPPBX",'List Order'!C:C,"2026")</f>
        <v>0</v>
      </c>
      <c r="AW13" s="14"/>
      <c r="AX13" s="9">
        <f>COUNTIFS('List Order'!B:B,"Februari",'List Order'!I:I,"IPPBX",'List Order'!C:C,"2026")</f>
        <v>0</v>
      </c>
      <c r="AY13" s="14"/>
      <c r="AZ13" s="9">
        <f>COUNTIFS('List Order'!B:B,"Maret",'List Order'!I:I,"IPPBX",'List Order'!C:C,"2026")</f>
        <v>0</v>
      </c>
      <c r="BA13" s="14"/>
      <c r="BB13" s="9">
        <f>COUNTIFS('List Order'!B:B,"April",'List Order'!I:I,"IPPBX",'List Order'!C:C,"2026")</f>
        <v>1</v>
      </c>
      <c r="BC13" s="14"/>
      <c r="BD13" s="9">
        <f>COUNTIFS('List Order'!B:B,"Mei",'List Order'!I:I,"IPPBX",'List Order'!C:C,"2026")</f>
        <v>0</v>
      </c>
      <c r="BE13" s="14"/>
      <c r="BF13" s="9">
        <f>COUNTIFS('List Order'!B:B,"Juni",'List Order'!I:I,"IPPBX",'List Order'!C:C,"2026")</f>
        <v>0</v>
      </c>
      <c r="BG13" s="14"/>
      <c r="BH13" s="9">
        <f>COUNTIFS('List Order'!B:B,"Juli",'List Order'!I:I,"IPPBX",'List Order'!C:C,"2026")</f>
        <v>1</v>
      </c>
      <c r="BI13" s="14"/>
      <c r="BJ13" s="9">
        <f>COUNTIFS('List Order'!B:B,"Agustus",'List Order'!I:I,"IPPBX",'List Order'!C:C,"2026")</f>
        <v>0</v>
      </c>
      <c r="BK13" s="14"/>
      <c r="BL13" s="9">
        <f>COUNTIFS('List Order'!B:B,"September",'List Order'!I:I,"IPPBX",'List Order'!C:C,"2026")</f>
        <v>0</v>
      </c>
      <c r="BM13" s="14"/>
      <c r="BN13" s="9">
        <f>COUNTIFS('List Order'!B:B,"Oktober",'List Order'!I:I,"IPPBX",'List Order'!C:C,"2026")</f>
        <v>0</v>
      </c>
      <c r="BO13" s="14"/>
      <c r="BP13" s="9">
        <f>COUNTIFS('List Order'!B:B,"November",'List Order'!I:I,"IPPBX",'List Order'!C:C,"2026")</f>
        <v>0</v>
      </c>
      <c r="BQ13" s="14"/>
      <c r="BR13" s="9">
        <f>COUNTIFS('List Order'!B:B,"Desember",'List Order'!I:I,"IPPBX",'List Order'!C:C,"2026")</f>
        <v>0</v>
      </c>
      <c r="BS13" s="14"/>
    </row>
    <row r="14" spans="2:71">
      <c r="AE14" t="s">
        <v>128</v>
      </c>
      <c r="AF14">
        <f>COUNTIFS('List Project'!C:C,"2026",'List Project'!D:D,"Januari",'List Project'!F:F,"SSO")</f>
        <v>0</v>
      </c>
      <c r="AG14">
        <f>COUNTIFS('List Project'!C:C,"2026",'List Project'!D:D,"Februari",'List Project'!F:F,"SSO")</f>
        <v>0</v>
      </c>
      <c r="AH14">
        <f>COUNTIFS('List Project'!C:C,"2026",'List Project'!D:D,"Maret",'List Project'!F:F,"SSO")</f>
        <v>0</v>
      </c>
      <c r="AI14">
        <f>COUNTIFS('List Project'!C:C,"2026",'List Project'!D:D,"April",'List Project'!F:F,"SSO")</f>
        <v>0</v>
      </c>
      <c r="AJ14">
        <f>COUNTIFS('List Project'!C:C,"2026",'List Project'!D:D,"Mei",'List Project'!F:F,"SSO")</f>
        <v>0</v>
      </c>
      <c r="AK14">
        <f>COUNTIFS('List Project'!C:C,"2026",'List Project'!D:D,"Juni",'List Project'!F:F,"SSO")</f>
        <v>0</v>
      </c>
      <c r="AL14">
        <f>COUNTIFS('List Project'!C:C,"2026",'List Project'!D:D,"Juli",'List Project'!F:F,"SSO")</f>
        <v>0</v>
      </c>
      <c r="AM14">
        <f>COUNTIFS('List Project'!C:C,"2026",'List Project'!D:D,"Agustus",'List Project'!F:F,"SSO")</f>
        <v>0</v>
      </c>
      <c r="AN14">
        <f>COUNTIFS('List Project'!C:C,"2026",'List Project'!D:D,"September",'List Project'!F:F,"SSO")</f>
        <v>0</v>
      </c>
      <c r="AO14">
        <f>COUNTIFS('List Project'!C:C,"2026",'List Project'!D:D,"Oktober",'List Project'!F:F,"SSO")</f>
        <v>0</v>
      </c>
      <c r="AP14">
        <f>COUNTIFS('List Project'!C:C,"2026",'List Project'!D:D,"November",'List Project'!F:F,"SSO")</f>
        <v>0</v>
      </c>
      <c r="AQ14">
        <f>COUNTIFS('List Project'!C:C,"2026",'List Project'!D:D,"Desember",'List Project'!F:F,"SSO")</f>
        <v>0</v>
      </c>
      <c r="AU14" s="1" t="s">
        <v>1633</v>
      </c>
      <c r="AV14" s="3">
        <f>COUNTIFS('List Order'!C:C,"2026",'List Order'!B:B,"Januari",'List Order'!H:H,"PSB",'List Order'!I:I,"IPPBX")</f>
        <v>0</v>
      </c>
      <c r="AW14" s="15">
        <f>SUMIFS('List Order'!T:T,'List Order'!C:C,"2026",'List Order'!B:B,"Januari",'List Order'!H:H,"PSB",'List Order'!I:I,"IPPBX")</f>
        <v>0</v>
      </c>
      <c r="AX14" s="3">
        <f>COUNTIFS('List Order'!C:C,"2026",'List Order'!B:B,"Februari",'List Order'!H:H,"PSB",'List Order'!I:I,"IPPBX")</f>
        <v>0</v>
      </c>
      <c r="AY14" s="15">
        <f>SUMIFS('List Order'!T:T,'List Order'!C:C,"2026",'List Order'!B:B,"Februari",'List Order'!H:H,"PSB",'List Order'!I:I,"IPPBX")</f>
        <v>0</v>
      </c>
      <c r="AZ14" s="3">
        <f>COUNTIFS('List Order'!C:C,"2026",'List Order'!B:B,"Maret",'List Order'!H:H,"PSB",'List Order'!I:I,"IPPBX")</f>
        <v>0</v>
      </c>
      <c r="BA14" s="15">
        <f>SUMIFS('List Order'!T:T,'List Order'!C:C,"2026",'List Order'!B:B,"Maret",'List Order'!H:H,"PSB",'List Order'!I:I,"IPPBX")</f>
        <v>0</v>
      </c>
      <c r="BB14" s="3">
        <f>COUNTIFS('List Order'!C:C,"2026",'List Order'!B:B,"April",'List Order'!H:H,"PSB",'List Order'!I:I,"IPPBX")</f>
        <v>0</v>
      </c>
      <c r="BC14" s="15">
        <f>SUMIFS('List Order'!T:T,'List Order'!C:C,"2026",'List Order'!B:B,"April",'List Order'!H:H,"PSB",'List Order'!I:I,"IPPBX")</f>
        <v>0</v>
      </c>
      <c r="BD14" s="3">
        <f>COUNTIFS('List Order'!C:C,"2026",'List Order'!B:B,"Mei",'List Order'!H:H,"PSB",'List Order'!I:I,"IPPBX")</f>
        <v>0</v>
      </c>
      <c r="BE14" s="15">
        <f>SUMIFS('List Order'!T:T,'List Order'!C:C,"2026",'List Order'!B:B,"Mei",'List Order'!H:H,"PSB",'List Order'!I:I,"IPPBX")</f>
        <v>0</v>
      </c>
      <c r="BF14" s="3">
        <f>COUNTIFS('List Order'!C:C,"2026",'List Order'!B:B,"Juni",'List Order'!H:H,"PSB",'List Order'!I:I,"IPPBX")</f>
        <v>0</v>
      </c>
      <c r="BG14" s="15">
        <f>SUMIFS('List Order'!T:T,'List Order'!C:C,"2026",'List Order'!B:B,"Juni",'List Order'!H:H,"PSB",'List Order'!I:I,"IPPBX")</f>
        <v>0</v>
      </c>
      <c r="BH14" s="3">
        <f>COUNTIFS('List Order'!C:C,"2026",'List Order'!B:B,"Juli",'List Order'!H:H,"PSB",'List Order'!I:I,"IPPBX")</f>
        <v>0</v>
      </c>
      <c r="BI14" s="15">
        <f>SUMIFS('List Order'!T:T,'List Order'!C:C,"2026",'List Order'!B:B,"Juli",'List Order'!H:H,"PSB",'List Order'!I:I,"IPPBX")</f>
        <v>0</v>
      </c>
      <c r="BJ14" s="3">
        <f>COUNTIFS('List Order'!C:C,"2026",'List Order'!B:B,"Agustus",'List Order'!H:H,"PSB",'List Order'!I:I,"IPPBX")</f>
        <v>0</v>
      </c>
      <c r="BK14" s="15">
        <f>SUMIFS('List Order'!T:T,'List Order'!C:C,"2026",'List Order'!B:B,"Agustus",'List Order'!H:H,"PSB",'List Order'!I:I,"IPPBX")</f>
        <v>0</v>
      </c>
      <c r="BL14" s="3">
        <f>COUNTIFS('List Order'!C:C,"2026",'List Order'!B:B,"September",'List Order'!H:H,"PSB",'List Order'!I:I,"IPPBX")</f>
        <v>0</v>
      </c>
      <c r="BM14" s="15">
        <f>SUMIFS('List Order'!T:T,'List Order'!C:C,"2026",'List Order'!B:B,"September",'List Order'!H:H,"PSB",'List Order'!I:I,"IPPBX")</f>
        <v>0</v>
      </c>
      <c r="BN14" s="3">
        <f>COUNTIFS('List Order'!C:C,"2026",'List Order'!B:B,"Oktober",'List Order'!H:H,"PSB",'List Order'!I:I,"IPPBX")</f>
        <v>0</v>
      </c>
      <c r="BO14" s="15">
        <f>SUMIFS('List Order'!T:T,'List Order'!C:C,"2026",'List Order'!B:B,"Oktober",'List Order'!H:H,"PSB",'List Order'!I:I,"IPPBX")</f>
        <v>0</v>
      </c>
      <c r="BP14" s="3">
        <f>COUNTIFS('List Order'!C:C,"2026",'List Order'!B:B,"November",'List Order'!H:H,"PSB",'List Order'!I:I,"IPPBX")</f>
        <v>0</v>
      </c>
      <c r="BQ14" s="15">
        <f>SUMIFS('List Order'!T:T,'List Order'!C:C,"2026",'List Order'!B:B,"November",'List Order'!H:H,"PSB",'List Order'!I:I,"IPPBX")</f>
        <v>0</v>
      </c>
      <c r="BR14" s="3">
        <f>COUNTIFS('List Order'!C:C,"2026",'List Order'!B:B,"Desember",'List Order'!H:H,"PSB",'List Order'!I:I,"IPPBX")</f>
        <v>0</v>
      </c>
      <c r="BS14" s="15">
        <f>SUMIFS('List Order'!T:T,'List Order'!C:C,"2026",'List Order'!B:B,"Desember",'List Order'!H:H,"PSB",'List Order'!I:I,"IPPBX")</f>
        <v>0</v>
      </c>
    </row>
    <row r="15" spans="2:71">
      <c r="C15" s="180"/>
      <c r="D15" s="180"/>
      <c r="E15" s="180"/>
      <c r="F15" s="180"/>
      <c r="G15" s="180"/>
      <c r="H15" s="180"/>
      <c r="AE15" t="s">
        <v>48</v>
      </c>
      <c r="AF15">
        <f>COUNTIFS('List Project'!C:C,"2026",'List Project'!D:D,"Januari",'List Project'!F:F,"Nomor Akses")</f>
        <v>0</v>
      </c>
      <c r="AG15">
        <f>COUNTIFS('List Project'!C:C,"2026",'List Project'!D:D,"Februari",'List Project'!F:F,"Nomor Akses")</f>
        <v>1</v>
      </c>
      <c r="AH15">
        <f>COUNTIFS('List Project'!C:C,"2026",'List Project'!D:D,"Maret",'List Project'!F:F,"Nomor Akses")</f>
        <v>0</v>
      </c>
      <c r="AI15">
        <f>COUNTIFS('List Project'!C:C,"2026",'List Project'!D:D,"April",'List Project'!F:F,"Nomor Akses")</f>
        <v>0</v>
      </c>
      <c r="AJ15">
        <f>COUNTIFS('List Project'!C:C,"2026",'List Project'!D:D,"Mei",'List Project'!F:F,"Nomor Akses")</f>
        <v>0</v>
      </c>
      <c r="AK15">
        <f>COUNTIFS('List Project'!C:C,"2026",'List Project'!D:D,"Juni",'List Project'!F:F,"Nomor Akses")</f>
        <v>0</v>
      </c>
      <c r="AL15">
        <f>COUNTIFS('List Project'!C:C,"2026",'List Project'!D:D,"Juli",'List Project'!F:F,"Nomor Akses")</f>
        <v>0</v>
      </c>
      <c r="AM15">
        <f>COUNTIFS('List Project'!C:C,"2026",'List Project'!D:D,"Agustus",'List Project'!F:F,"Nomor Akses")</f>
        <v>0</v>
      </c>
      <c r="AN15">
        <f>COUNTIFS('List Project'!C:C,"2026",'List Project'!D:D,"September",'List Project'!F:F,"Nomor Akses")</f>
        <v>0</v>
      </c>
      <c r="AO15">
        <f>COUNTIFS('List Project'!C:C,"2026",'List Project'!D:D,"Oktober",'List Project'!F:F,"Nomor Akses")</f>
        <v>0</v>
      </c>
      <c r="AP15">
        <f>COUNTIFS('List Project'!C:C,"2026",'List Project'!D:D,"November",'List Project'!F:F,"Nomor Akses")</f>
        <v>0</v>
      </c>
      <c r="AQ15">
        <f>COUNTIFS('List Project'!C:C,"2026",'List Project'!D:D,"Desember",'List Project'!F:F,"Nomor Akses")</f>
        <v>0</v>
      </c>
      <c r="AU15" s="1" t="s">
        <v>1135</v>
      </c>
      <c r="AV15" s="3">
        <f>COUNTIFS('List Order'!C:C,"2026",'List Order'!B:B,"Januari",'List Order'!H:H,"Upgrade",'List Order'!I:I,"IPPBX")</f>
        <v>0</v>
      </c>
      <c r="AW15" s="15">
        <f>SUMIFS('List Order'!T:T,'List Order'!C:C,"2026",'List Order'!B:B,"Januari",'List Order'!H:H,"Upgrade",'List Order'!I:I,"IPPBX")</f>
        <v>0</v>
      </c>
      <c r="AX15" s="3">
        <f>COUNTIFS('List Order'!C:C,"2026",'List Order'!B:B,"Februari",'List Order'!H:H,"Upgrade",'List Order'!I:I,"IPPBX")</f>
        <v>0</v>
      </c>
      <c r="AY15" s="15">
        <f>SUMIFS('List Order'!T:T,'List Order'!C:C,"2026",'List Order'!B:B,"Februari",'List Order'!H:H,"Upgrade",'List Order'!I:I,"IPPBX")</f>
        <v>0</v>
      </c>
      <c r="AZ15" s="3">
        <f>COUNTIFS('List Order'!C:C,"2026",'List Order'!B:B,"Maret",'List Order'!H:H,"Upgrade",'List Order'!I:I,"IPPBX")</f>
        <v>0</v>
      </c>
      <c r="BA15" s="15">
        <f>SUMIFS('List Order'!T:T,'List Order'!C:C,"2026",'List Order'!B:B,"Maret",'List Order'!H:H,"Upgrade",'List Order'!I:I,"IPPBX")</f>
        <v>0</v>
      </c>
      <c r="BB15" s="3">
        <f>COUNTIFS('List Order'!C:C,"2026",'List Order'!B:B,"April",'List Order'!H:H,"Upgrade",'List Order'!I:I,"IPPBX")</f>
        <v>0</v>
      </c>
      <c r="BC15" s="15">
        <f>SUMIFS('List Order'!T:T,'List Order'!C:C,"2026",'List Order'!B:B,"April",'List Order'!H:H,"Upgrade",'List Order'!I:I,"IPPBX")</f>
        <v>0</v>
      </c>
      <c r="BD15" s="3">
        <f>COUNTIFS('List Order'!C:C,"2026",'List Order'!B:B,"Mei",'List Order'!H:H,"Upgrade",'List Order'!I:I,"IPPBX")</f>
        <v>0</v>
      </c>
      <c r="BE15" s="15">
        <f>SUMIFS('List Order'!T:T,'List Order'!C:C,"2026",'List Order'!B:B,"Mei",'List Order'!H:H,"Upgrade",'List Order'!I:I,"IPPBX")</f>
        <v>0</v>
      </c>
      <c r="BF15" s="3">
        <f>COUNTIFS('List Order'!C:C,"2026",'List Order'!B:B,"Juni",'List Order'!H:H,"Upgrade",'List Order'!I:I,"IPPBX")</f>
        <v>0</v>
      </c>
      <c r="BG15" s="15">
        <f>SUMIFS('List Order'!T:T,'List Order'!C:C,"2026",'List Order'!B:B,"Juni",'List Order'!H:H,"Upgrade",'List Order'!I:I,"IPPBX")</f>
        <v>0</v>
      </c>
      <c r="BH15" s="3">
        <f>COUNTIFS('List Order'!C:C,"2026",'List Order'!B:B,"Juli",'List Order'!H:H,"Upgrade",'List Order'!I:I,"IPPBX")</f>
        <v>0</v>
      </c>
      <c r="BI15" s="15">
        <f>SUMIFS('List Order'!T:T,'List Order'!C:C,"2026",'List Order'!B:B,"Juli",'List Order'!H:H,"Upgrade",'List Order'!I:I,"IPPBX")</f>
        <v>0</v>
      </c>
      <c r="BJ15" s="3">
        <f>COUNTIFS('List Order'!C:C,"2026",'List Order'!B:B,"Agustus",'List Order'!H:H,"Upgrade",'List Order'!I:I,"IPPBX")</f>
        <v>0</v>
      </c>
      <c r="BK15" s="15">
        <f>SUMIFS('List Order'!T:T,'List Order'!C:C,"2026",'List Order'!B:B,"Agustus",'List Order'!H:H,"Upgrade",'List Order'!I:I,"IPPBX")</f>
        <v>0</v>
      </c>
      <c r="BL15" s="3">
        <f>COUNTIFS('List Order'!C:C,"2026",'List Order'!B:B,"September",'List Order'!H:H,"Upgrade",'List Order'!I:I,"IPPBX")</f>
        <v>0</v>
      </c>
      <c r="BM15" s="15">
        <f>SUMIFS('List Order'!T:T,'List Order'!C:C,"2026",'List Order'!B:B,"September",'List Order'!H:H,"Upgrade",'List Order'!I:I,"IPPBX")</f>
        <v>0</v>
      </c>
      <c r="BN15" s="3">
        <f>COUNTIFS('List Order'!C:C,"2026",'List Order'!B:B,"Oktober",'List Order'!H:H,"Upgrade",'List Order'!I:I,"IPPBX")</f>
        <v>0</v>
      </c>
      <c r="BO15" s="15">
        <f>SUMIFS('List Order'!T:T,'List Order'!C:C,"2026",'List Order'!B:B,"Oktober",'List Order'!H:H,"Upgrade",'List Order'!I:I,"IPPBX")</f>
        <v>0</v>
      </c>
      <c r="BP15" s="3">
        <f>COUNTIFS('List Order'!C:C,"2026",'List Order'!B:B,"November",'List Order'!H:H,"Upgrade",'List Order'!I:I,"IPPBX")</f>
        <v>0</v>
      </c>
      <c r="BQ15" s="15">
        <f>SUMIFS('List Order'!T:T,'List Order'!C:C,"2026",'List Order'!B:B,"November",'List Order'!H:H,"Upgrade",'List Order'!I:I,"IPPBX")</f>
        <v>0</v>
      </c>
      <c r="BR15" s="3">
        <f>COUNTIFS('List Order'!C:C,"2026",'List Order'!B:B,"Desember",'List Order'!H:H,"Upgrade",'List Order'!I:I,"IPPBX")</f>
        <v>0</v>
      </c>
      <c r="BS15" s="15">
        <f>SUMIFS('List Order'!T:T,'List Order'!C:C,"2026",'List Order'!B:B,"Desember",'List Order'!H:H,"Upgrade",'List Order'!I:I,"IPPBX")</f>
        <v>0</v>
      </c>
    </row>
    <row r="16" spans="2:71">
      <c r="C16" s="180"/>
      <c r="D16" s="180"/>
      <c r="E16" s="180"/>
      <c r="F16" s="180"/>
      <c r="G16" s="180"/>
      <c r="H16" s="180"/>
      <c r="AU16" s="1" t="s">
        <v>1556</v>
      </c>
      <c r="AV16" s="3">
        <f>COUNTIFS('List Order'!C:C,"2026",'List Order'!B:B,"Januari",'List Order'!H:H,"Downgrade",'List Order'!I:I,"IPPBX")</f>
        <v>0</v>
      </c>
      <c r="AW16" s="15">
        <f>SUMIFS('List Order'!T:T,'List Order'!C:C,"2026",'List Order'!B:B,"Januari",'List Order'!H:H,"Downgrade",'List Order'!I:I,"IPPBX")</f>
        <v>0</v>
      </c>
      <c r="AX16" s="3">
        <f>COUNTIFS('List Order'!C:C,"2026",'List Order'!B:B,"Februari",'List Order'!H:H,"Downgrade",'List Order'!I:I,"IPPBX")</f>
        <v>0</v>
      </c>
      <c r="AY16" s="15">
        <f>SUMIFS('List Order'!T:T,'List Order'!C:C,"2026",'List Order'!B:B,"Februari",'List Order'!H:H,"Downgrade",'List Order'!I:I,"IPPBX")</f>
        <v>0</v>
      </c>
      <c r="AZ16" s="3">
        <f>COUNTIFS('List Order'!C:C,"2026",'List Order'!B:B,"Maret",'List Order'!H:H,"Downgrade",'List Order'!I:I,"IPPBX")</f>
        <v>0</v>
      </c>
      <c r="BA16" s="15">
        <f>SUMIFS('List Order'!T:T,'List Order'!C:C,"2026",'List Order'!B:B,"Maret",'List Order'!H:H,"Downgrade",'List Order'!I:I,"IPPBX")</f>
        <v>0</v>
      </c>
      <c r="BB16" s="3">
        <f>COUNTIFS('List Order'!C:C,"2026",'List Order'!B:B,"April",'List Order'!H:H,"Downgrade",'List Order'!I:I,"IPPBX")</f>
        <v>0</v>
      </c>
      <c r="BC16" s="15">
        <f>SUMIFS('List Order'!T:T,'List Order'!C:C,"2026",'List Order'!B:B,"April",'List Order'!H:H,"Downgrade",'List Order'!I:I,"IPPBX")</f>
        <v>0</v>
      </c>
      <c r="BD16" s="3">
        <f>COUNTIFS('List Order'!C:C,"2026",'List Order'!B:B,"Mei",'List Order'!H:H,"Downgrade",'List Order'!I:I,"IPPBX")</f>
        <v>0</v>
      </c>
      <c r="BE16" s="15">
        <f>SUMIFS('List Order'!T:T,'List Order'!C:C,"2026",'List Order'!B:B,"Mei",'List Order'!H:H,"Downgrade",'List Order'!I:I,"IPPBX")</f>
        <v>0</v>
      </c>
      <c r="BF16" s="3">
        <f>COUNTIFS('List Order'!C:C,"2026",'List Order'!B:B,"Juni",'List Order'!H:H,"Downgrade",'List Order'!I:I,"IPPBX")</f>
        <v>0</v>
      </c>
      <c r="BG16" s="15">
        <f>SUMIFS('List Order'!T:T,'List Order'!C:C,"2026",'List Order'!B:B,"Juni",'List Order'!H:H,"Downgrade",'List Order'!I:I,"IPPBX")</f>
        <v>0</v>
      </c>
      <c r="BH16" s="3">
        <f>COUNTIFS('List Order'!C:C,"2026",'List Order'!B:B,"Juli",'List Order'!H:H,"Downgrade",'List Order'!I:I,"IPPBX")</f>
        <v>0</v>
      </c>
      <c r="BI16" s="15">
        <f>SUMIFS('List Order'!T:T,'List Order'!C:C,"2026",'List Order'!B:B,"Juli",'List Order'!H:H,"Downgrade",'List Order'!I:I,"IPPBX")</f>
        <v>0</v>
      </c>
      <c r="BJ16" s="3">
        <f>COUNTIFS('List Order'!C:C,"2026",'List Order'!B:B,"Agustus",'List Order'!H:H,"Downgrade",'List Order'!I:I,"IPPBX")</f>
        <v>0</v>
      </c>
      <c r="BK16" s="15">
        <f>SUMIFS('List Order'!T:T,'List Order'!C:C,"2026",'List Order'!B:B,"Agustus",'List Order'!H:H,"Downgrade",'List Order'!I:I,"IPPBX")</f>
        <v>0</v>
      </c>
      <c r="BL16" s="3">
        <f>COUNTIFS('List Order'!C:C,"2026",'List Order'!B:B,"September",'List Order'!H:H,"Downgrade",'List Order'!I:I,"IPPBX")</f>
        <v>0</v>
      </c>
      <c r="BM16" s="15">
        <f>SUMIFS('List Order'!T:T,'List Order'!C:C,"2026",'List Order'!B:B,"September",'List Order'!H:H,"Downgrade",'List Order'!I:I,"IPPBX")</f>
        <v>0</v>
      </c>
      <c r="BN16" s="3">
        <f>COUNTIFS('List Order'!C:C,"2026",'List Order'!B:B,"Oktober",'List Order'!H:H,"Downgrade",'List Order'!I:I,"IPPBX")</f>
        <v>0</v>
      </c>
      <c r="BO16" s="15">
        <f>SUMIFS('List Order'!T:T,'List Order'!C:C,"2026",'List Order'!B:B,"Oktober",'List Order'!H:H,"Downgrade",'List Order'!I:I,"IPPBX")</f>
        <v>0</v>
      </c>
      <c r="BP16" s="3">
        <f>COUNTIFS('List Order'!C:C,"2026",'List Order'!B:B,"November",'List Order'!H:H,"Downgrade",'List Order'!I:I,"IPPBX")</f>
        <v>0</v>
      </c>
      <c r="BQ16" s="15">
        <f>SUMIFS('List Order'!T:T,'List Order'!C:C,"2026",'List Order'!B:B,"November",'List Order'!H:H,"Downgrade",'List Order'!I:I,"IPPBX")</f>
        <v>0</v>
      </c>
      <c r="BR16" s="3">
        <f>COUNTIFS('List Order'!C:C,"2026",'List Order'!B:B,"Desember",'List Order'!H:H,"Downgrade",'List Order'!I:I,"IPPBX")</f>
        <v>0</v>
      </c>
      <c r="BS16" s="15">
        <f>SUMIFS('List Order'!T:T,'List Order'!C:C,"2026",'List Order'!B:B,"Desember",'List Order'!H:H,"Downgrade",'List Order'!I:I,"IPPBX")</f>
        <v>0</v>
      </c>
    </row>
    <row r="17" spans="3:71" ht="18.75">
      <c r="C17" s="31"/>
      <c r="D17" s="31"/>
      <c r="E17" s="31"/>
      <c r="F17" s="31"/>
      <c r="G17" s="31"/>
      <c r="H17" s="31"/>
      <c r="AF17" s="13" t="s">
        <v>3221</v>
      </c>
      <c r="AG17" s="13" t="s">
        <v>32</v>
      </c>
      <c r="AH17" s="13" t="s">
        <v>460</v>
      </c>
      <c r="AI17" s="13" t="s">
        <v>3234</v>
      </c>
      <c r="AL17" t="s">
        <v>45</v>
      </c>
      <c r="AM17" t="s">
        <v>51</v>
      </c>
      <c r="AN17" t="s">
        <v>31</v>
      </c>
      <c r="AO17" t="s">
        <v>69</v>
      </c>
      <c r="AU17" s="4" t="s">
        <v>3229</v>
      </c>
      <c r="AV17" s="5">
        <f>COUNTIFS('List Order'!C:C,"2026",'List Order'!B:B,"Januari",'List Order'!H:H,"Dismantle",'List Order'!I:I,"IPPBX")</f>
        <v>0</v>
      </c>
      <c r="AW17" s="16">
        <f>SUMIFS('List Order'!T:T,'List Order'!C:C,"2026",'List Order'!B:B,"Januari",'List Order'!H:H,"Dismantle",'List Order'!I:I,"IPPBX")</f>
        <v>0</v>
      </c>
      <c r="AX17" s="5">
        <f>COUNTIFS('List Order'!C:C,"2026",'List Order'!B:B,"Februari",'List Order'!H:H,"Dismantle",'List Order'!I:I,"IPPBX")</f>
        <v>0</v>
      </c>
      <c r="AY17" s="16">
        <f>SUMIFS('List Order'!T:T,'List Order'!C:C,"2026",'List Order'!B:B,"Februari",'List Order'!H:H,"Dismantle",'List Order'!I:I,"IPPBX")</f>
        <v>0</v>
      </c>
      <c r="AZ17" s="5">
        <f>COUNTIFS('List Order'!C:C,"2026",'List Order'!B:B,"Maret",'List Order'!H:H,"Dismantle",'List Order'!I:I,"IPPBX")</f>
        <v>0</v>
      </c>
      <c r="BA17" s="16">
        <f>SUMIFS('List Order'!T:T,'List Order'!C:C,"2026",'List Order'!B:B,"Maret",'List Order'!H:H,"Dismantle",'List Order'!I:I,"IPPBX")</f>
        <v>0</v>
      </c>
      <c r="BB17" s="5">
        <f>COUNTIFS('List Order'!C:C,"2026",'List Order'!B:B,"April",'List Order'!H:H,"Dismantle",'List Order'!I:I,"IPPBX")</f>
        <v>1</v>
      </c>
      <c r="BC17" s="16">
        <f>SUMIFS('List Order'!T:T,'List Order'!C:C,"2026",'List Order'!B:B,"April",'List Order'!H:H,"Dismantle",'List Order'!I:I,"IPPBX")</f>
        <v>0</v>
      </c>
      <c r="BD17" s="5">
        <f>COUNTIFS('List Order'!C:C,"2026",'List Order'!B:B,"Mei",'List Order'!H:H,"Dismantle",'List Order'!I:I,"IPPBX")</f>
        <v>0</v>
      </c>
      <c r="BE17" s="16">
        <f>SUMIFS('List Order'!T:T,'List Order'!C:C,"2026",'List Order'!B:B,"Mei",'List Order'!H:H,"Dismantle",'List Order'!I:I,"IPPBX")</f>
        <v>0</v>
      </c>
      <c r="BF17" s="5">
        <f>COUNTIFS('List Order'!C:C,"2026",'List Order'!B:B,"Juni",'List Order'!H:H,"Dismantle",'List Order'!I:I,"IPPBX")</f>
        <v>0</v>
      </c>
      <c r="BG17" s="16">
        <f>SUMIFS('List Order'!T:T,'List Order'!C:C,"2026",'List Order'!B:B,"Juni",'List Order'!H:H,"Dismantle",'List Order'!I:I,"IPPBX")</f>
        <v>0</v>
      </c>
      <c r="BH17" s="5">
        <f>COUNTIFS('List Order'!C:C,"2026",'List Order'!B:B,"Juli",'List Order'!H:H,"Dismantle",'List Order'!I:I,"IPPBX")</f>
        <v>1</v>
      </c>
      <c r="BI17" s="16">
        <f>SUMIFS('List Order'!T:T,'List Order'!C:C,"2026",'List Order'!B:B,"Juli",'List Order'!H:H,"Dismantle",'List Order'!I:I,"IPPBX")</f>
        <v>0</v>
      </c>
      <c r="BJ17" s="5">
        <f>COUNTIFS('List Order'!C:C,"2026",'List Order'!B:B,"Agustus",'List Order'!H:H,"Dismantle",'List Order'!I:I,"IPPBX")</f>
        <v>0</v>
      </c>
      <c r="BK17" s="16">
        <f>SUMIFS('List Order'!T:T,'List Order'!C:C,"2026",'List Order'!B:B,"Agustus",'List Order'!H:H,"Dismantle",'List Order'!I:I,"IPPBX")</f>
        <v>0</v>
      </c>
      <c r="BL17" s="5">
        <f>COUNTIFS('List Order'!C:C,"2026",'List Order'!B:B,"September",'List Order'!H:H,"Dismantle",'List Order'!I:I,"IPPBX")</f>
        <v>0</v>
      </c>
      <c r="BM17" s="16">
        <f>SUMIFS('List Order'!T:T,'List Order'!C:C,"2026",'List Order'!B:B,"September",'List Order'!H:H,"Dismantle",'List Order'!I:I,"IPPBX")</f>
        <v>0</v>
      </c>
      <c r="BN17" s="5">
        <f>COUNTIFS('List Order'!C:C,"2026",'List Order'!B:B,"Oktober",'List Order'!H:H,"Dismantle",'List Order'!I:I,"IPPBX")</f>
        <v>0</v>
      </c>
      <c r="BO17" s="16">
        <f>SUMIFS('List Order'!T:T,'List Order'!C:C,"2026",'List Order'!B:B,"Oktober",'List Order'!H:H,"Dismantle",'List Order'!I:I,"IPPBX")</f>
        <v>0</v>
      </c>
      <c r="BP17" s="5">
        <f>COUNTIFS('List Order'!C:C,"2026",'List Order'!B:B,"November",'List Order'!H:H,"Dismantle",'List Order'!I:I,"IPPBX")</f>
        <v>0</v>
      </c>
      <c r="BQ17" s="16">
        <f>SUMIFS('List Order'!T:T,'List Order'!C:C,"2026",'List Order'!B:B,"November",'List Order'!H:H,"Dismantle",'List Order'!I:I,"IPPBX")</f>
        <v>0</v>
      </c>
      <c r="BR17" s="5">
        <f>COUNTIFS('List Order'!C:C,"2026",'List Order'!B:B,"Desember",'List Order'!H:H,"Dismantle",'List Order'!I:I,"IPPBX")</f>
        <v>0</v>
      </c>
      <c r="BS17" s="16">
        <f>SUMIFS('List Order'!T:T,'List Order'!C:C,"2026",'List Order'!B:B,"Desember",'List Order'!H:H,"Dismantle",'List Order'!I:I,"IPPBX")</f>
        <v>0</v>
      </c>
    </row>
    <row r="18" spans="3:71" ht="27.75">
      <c r="C18" s="32"/>
      <c r="D18" s="33"/>
      <c r="E18" s="32"/>
      <c r="F18" s="33"/>
      <c r="G18" s="32"/>
      <c r="H18" s="33"/>
      <c r="AE18" t="s">
        <v>45</v>
      </c>
      <c r="AF18" s="17">
        <f>SUM(AF3:AQ3)</f>
        <v>0</v>
      </c>
      <c r="AG18">
        <f>COUNTIFS('List Project'!C:C,"2026",'List Project'!P:P,"Done",'List Project'!O:O,"Adi")</f>
        <v>0</v>
      </c>
      <c r="AH18">
        <f>COUNTIFS('List Project'!C:C,"2026",'List Project'!P:P,"OGP",'List Project'!O:O,"Adi")</f>
        <v>0</v>
      </c>
      <c r="AI18" s="17">
        <f>SUMIFS('List Project'!I:I,'List Project'!O:O,"Adi",'List Project'!C:C,"2026")</f>
        <v>0</v>
      </c>
      <c r="AK18" t="s">
        <v>3235</v>
      </c>
      <c r="AL18" s="17">
        <f>AF18</f>
        <v>0</v>
      </c>
      <c r="AM18" s="17">
        <f>AF19</f>
        <v>15</v>
      </c>
      <c r="AN18" s="17">
        <f>AF20</f>
        <v>6</v>
      </c>
      <c r="AO18" s="17">
        <f>AF21</f>
        <v>24</v>
      </c>
      <c r="AU18" s="11" t="s">
        <v>3236</v>
      </c>
      <c r="AV18" s="9">
        <f>COUNTIFS('List Order'!B:B,"Januari",'List Order'!I:I,"Colocation",'List Order'!C:C,"2026")</f>
        <v>0</v>
      </c>
      <c r="AW18" s="14"/>
      <c r="AX18" s="9">
        <f>COUNTIFS('List Order'!B:B,"Februari",'List Order'!I:I,"Colocation",'List Order'!C:C,"2026")</f>
        <v>0</v>
      </c>
      <c r="AY18" s="14"/>
      <c r="AZ18" s="9">
        <f>COUNTIFS('List Order'!B:B,"Maret",'List Order'!I:I,"Colocation",'List Order'!C:C,"2026")</f>
        <v>0</v>
      </c>
      <c r="BA18" s="14"/>
      <c r="BB18" s="9">
        <f>COUNTIFS('List Order'!B:B,"April",'List Order'!I:I,"Colocation",'List Order'!C:C,"2026")</f>
        <v>0</v>
      </c>
      <c r="BC18" s="14"/>
      <c r="BD18" s="9">
        <f>COUNTIFS('List Order'!B:B,"Mei",'List Order'!I:I,"Colocation",'List Order'!C:C,"2026")</f>
        <v>0</v>
      </c>
      <c r="BE18" s="14"/>
      <c r="BF18" s="9">
        <f>COUNTIFS('List Order'!B:B,"Juni",'List Order'!I:I,"Colocation",'List Order'!C:C,"2026")</f>
        <v>0</v>
      </c>
      <c r="BG18" s="14"/>
      <c r="BH18" s="9">
        <f>COUNTIFS('List Order'!B:B,"Juli",'List Order'!I:I,"Colocation",'List Order'!C:C,"2026")</f>
        <v>0</v>
      </c>
      <c r="BI18" s="14"/>
      <c r="BJ18" s="9">
        <f>COUNTIFS('List Order'!B:B,"Agustus",'List Order'!I:I,"Colocation",'List Order'!C:C,"2026")</f>
        <v>0</v>
      </c>
      <c r="BK18" s="14"/>
      <c r="BL18" s="9">
        <f>COUNTIFS('List Order'!B:B,"September",'List Order'!I:I,"Colocation",'List Order'!C:C,"2026")</f>
        <v>0</v>
      </c>
      <c r="BM18" s="14"/>
      <c r="BN18" s="9">
        <f>COUNTIFS('List Order'!B:B,"Oktober",'List Order'!I:I,"Colocation",'List Order'!C:C,"2026")</f>
        <v>0</v>
      </c>
      <c r="BO18" s="14"/>
      <c r="BP18" s="9">
        <f>COUNTIFS('List Order'!B:B,"November",'List Order'!I:I,"Colocation",'List Order'!C:C,"2026")</f>
        <v>0</v>
      </c>
      <c r="BQ18" s="14"/>
      <c r="BR18" s="9">
        <f>COUNTIFS('List Order'!B:B,"Desember",'List Order'!I:I,"Colocation",'List Order'!C:C,"2026")</f>
        <v>0</v>
      </c>
      <c r="BS18" s="14"/>
    </row>
    <row r="19" spans="3:71" ht="18.75">
      <c r="E19" s="181"/>
      <c r="F19" s="181"/>
      <c r="AE19" t="s">
        <v>51</v>
      </c>
      <c r="AF19" s="17">
        <f>SUM(AF4:AQ4)</f>
        <v>15</v>
      </c>
      <c r="AG19">
        <f>COUNTIFS('List Project'!C:C,"2026",'List Project'!P:P,"Done",'List Project'!O:O,"Dwi")</f>
        <v>11</v>
      </c>
      <c r="AH19">
        <f>COUNTIFS('List Project'!C:C,"2026",'List Project'!P:P,"OGP",'List Project'!O:O,"Dwi")</f>
        <v>2</v>
      </c>
      <c r="AI19" s="17">
        <f>SUMIFS('List Project'!I:I,'List Project'!O:O,"Dwi",'List Project'!C:C,"2026")</f>
        <v>172162817869.67999</v>
      </c>
      <c r="AK19" t="s">
        <v>3237</v>
      </c>
      <c r="AL19">
        <f>AG18</f>
        <v>0</v>
      </c>
      <c r="AM19">
        <f>AG19</f>
        <v>11</v>
      </c>
      <c r="AN19">
        <f>AG20</f>
        <v>4</v>
      </c>
      <c r="AO19">
        <f>AG21</f>
        <v>12</v>
      </c>
      <c r="AU19" s="1" t="s">
        <v>1633</v>
      </c>
      <c r="AV19" s="3">
        <f>COUNTIFS('List Order'!C:C,"2026",'List Order'!B:B,"Januari",'List Order'!H:H,"PSB",'List Order'!I:I,"Colocation")</f>
        <v>0</v>
      </c>
      <c r="AW19" s="15">
        <f>SUMIFS('List Order'!T:T,'List Order'!C:C,"2026",'List Order'!B:B,"Januari",'List Order'!H:H,"PSB",'List Order'!I:I,"Colocation")</f>
        <v>0</v>
      </c>
      <c r="AX19" s="3">
        <f>COUNTIFS('List Order'!C:C,"2026",'List Order'!B:B,"Februari",'List Order'!H:H,"PSB",'List Order'!I:I,"Colocation")</f>
        <v>0</v>
      </c>
      <c r="AY19" s="15">
        <f>SUMIFS('List Order'!T:T,'List Order'!C:C,"2026",'List Order'!B:B,"Februari",'List Order'!H:H,"PSB",'List Order'!I:I,"Colocation")</f>
        <v>0</v>
      </c>
      <c r="AZ19" s="3">
        <f>COUNTIFS('List Order'!C:C,"2026",'List Order'!B:B,"Maret",'List Order'!H:H,"PSB",'List Order'!I:I,"Colocation")</f>
        <v>0</v>
      </c>
      <c r="BA19" s="15">
        <f>SUMIFS('List Order'!T:T,'List Order'!C:C,"2026",'List Order'!B:B,"Maret",'List Order'!H:H,"PSB",'List Order'!I:I,"Colocation")</f>
        <v>0</v>
      </c>
      <c r="BB19" s="3">
        <f>COUNTIFS('List Order'!C:C,"2026",'List Order'!B:B,"April",'List Order'!H:H,"PSB",'List Order'!I:I,"Colocation")</f>
        <v>0</v>
      </c>
      <c r="BC19" s="15">
        <f>SUMIFS('List Order'!T:T,'List Order'!C:C,"2026",'List Order'!B:B,"April",'List Order'!H:H,"PSB",'List Order'!I:I,"Colocation")</f>
        <v>0</v>
      </c>
      <c r="BD19" s="3">
        <f>COUNTIFS('List Order'!C:C,"2026",'List Order'!B:B,"Mei",'List Order'!H:H,"PSB",'List Order'!I:I,"Colocation")</f>
        <v>0</v>
      </c>
      <c r="BE19" s="15">
        <f>SUMIFS('List Order'!T:T,'List Order'!C:C,"2026",'List Order'!B:B,"Mei",'List Order'!H:H,"PSB",'List Order'!I:I,"Colocation")</f>
        <v>0</v>
      </c>
      <c r="BF19" s="3">
        <f>COUNTIFS('List Order'!C:C,"2026",'List Order'!B:B,"Juni",'List Order'!H:H,"PSB",'List Order'!I:I,"Colocation")</f>
        <v>0</v>
      </c>
      <c r="BG19" s="15">
        <f>SUMIFS('List Order'!T:T,'List Order'!C:C,"2026",'List Order'!B:B,"Juni",'List Order'!H:H,"PSB",'List Order'!I:I,"Colocation")</f>
        <v>0</v>
      </c>
      <c r="BH19" s="3">
        <f>COUNTIFS('List Order'!C:C,"2026",'List Order'!B:B,"Juli",'List Order'!H:H,"PSB",'List Order'!I:I,"Colocation")</f>
        <v>0</v>
      </c>
      <c r="BI19" s="15">
        <f>SUMIFS('List Order'!T:T,'List Order'!C:C,"2026",'List Order'!B:B,"Juli",'List Order'!H:H,"PSB",'List Order'!I:I,"Colocation")</f>
        <v>0</v>
      </c>
      <c r="BJ19" s="3">
        <f>COUNTIFS('List Order'!C:C,"2026",'List Order'!B:B,"Agustus",'List Order'!H:H,"PSB",'List Order'!I:I,"Colocation")</f>
        <v>0</v>
      </c>
      <c r="BK19" s="15">
        <f>SUMIFS('List Order'!T:T,'List Order'!C:C,"2026",'List Order'!B:B,"Agustus",'List Order'!H:H,"PSB",'List Order'!I:I,"Colocation")</f>
        <v>0</v>
      </c>
      <c r="BL19" s="3">
        <f>COUNTIFS('List Order'!C:C,"2026",'List Order'!B:B,"September",'List Order'!H:H,"PSB",'List Order'!I:I,"Colocation")</f>
        <v>0</v>
      </c>
      <c r="BM19" s="15">
        <f>SUMIFS('List Order'!T:T,'List Order'!C:C,"2026",'List Order'!B:B,"September",'List Order'!H:H,"PSB",'List Order'!I:I,"Colocation")</f>
        <v>0</v>
      </c>
      <c r="BN19" s="3">
        <f>COUNTIFS('List Order'!C:C,"2026",'List Order'!B:B,"Oktober",'List Order'!H:H,"PSB",'List Order'!I:I,"Colocation")</f>
        <v>0</v>
      </c>
      <c r="BO19" s="15">
        <f>SUMIFS('List Order'!T:T,'List Order'!C:C,"2026",'List Order'!B:B,"Oktober",'List Order'!H:H,"PSB",'List Order'!I:I,"Colocation")</f>
        <v>0</v>
      </c>
      <c r="BP19" s="3">
        <f>COUNTIFS('List Order'!C:C,"2026",'List Order'!B:B,"November",'List Order'!H:H,"PSB",'List Order'!I:I,"Colocation")</f>
        <v>0</v>
      </c>
      <c r="BQ19" s="15">
        <f>SUMIFS('List Order'!T:T,'List Order'!C:C,"2026",'List Order'!B:B,"November",'List Order'!H:H,"PSB",'List Order'!I:I,"Colocation")</f>
        <v>0</v>
      </c>
      <c r="BR19" s="3">
        <f>COUNTIFS('List Order'!C:C,"2026",'List Order'!B:B,"Desember",'List Order'!H:H,"PSB",'List Order'!I:I,"Colocation")</f>
        <v>0</v>
      </c>
      <c r="BS19" s="15">
        <f>SUMIFS('List Order'!T:T,'List Order'!C:C,"2026",'List Order'!B:B,"Desember",'List Order'!H:H,"PSB",'List Order'!I:I,"Colocation")</f>
        <v>0</v>
      </c>
    </row>
    <row r="20" spans="3:71">
      <c r="C20" s="182"/>
      <c r="D20" s="182"/>
      <c r="E20" s="182"/>
      <c r="F20" s="182"/>
      <c r="G20" s="182"/>
      <c r="H20" s="182"/>
      <c r="AE20" t="s">
        <v>31</v>
      </c>
      <c r="AF20" s="17">
        <f>SUM(AF5:AQ5)</f>
        <v>6</v>
      </c>
      <c r="AG20">
        <f>COUNTIFS('List Project'!C:C,"2026",'List Project'!P:P,"Done",'List Project'!O:O,"Duta")</f>
        <v>4</v>
      </c>
      <c r="AH20">
        <f>COUNTIFS('List Project'!C:C,"2026",'List Project'!P:P,"OGP",'List Project'!O:O,"Duta")</f>
        <v>2</v>
      </c>
      <c r="AI20" s="17">
        <f>SUMIFS('List Project'!I:I,'List Project'!O:O,"Duta",'List Project'!C:C,"2026")</f>
        <v>26682428370.560001</v>
      </c>
      <c r="AK20" t="s">
        <v>3238</v>
      </c>
      <c r="AL20">
        <f>AH18</f>
        <v>0</v>
      </c>
      <c r="AM20">
        <f>AH19</f>
        <v>2</v>
      </c>
      <c r="AN20">
        <f>AH20</f>
        <v>2</v>
      </c>
      <c r="AO20">
        <f>AH21</f>
        <v>6</v>
      </c>
      <c r="AU20" s="4" t="s">
        <v>3229</v>
      </c>
      <c r="AV20" s="5">
        <f>COUNTIFS('List Order'!C:C,"2026",'List Order'!B:B,"Januari",'List Order'!H:H,"Dismantle",'List Order'!I:I,"Colocation")</f>
        <v>0</v>
      </c>
      <c r="AW20" s="16">
        <f>SUMIFS('List Order'!T:T,'List Order'!C:C,"2026",'List Order'!B:B,"Januari",'List Order'!H:H,"Dismantle",'List Order'!I:I,"Colocation")</f>
        <v>0</v>
      </c>
      <c r="AX20" s="5">
        <f>COUNTIFS('List Order'!C:C,"2026",'List Order'!B:B,"Februari",'List Order'!H:H,"Dismantle",'List Order'!I:I,"Colocation")</f>
        <v>0</v>
      </c>
      <c r="AY20" s="16">
        <f>SUMIFS('List Order'!T:T,'List Order'!C:C,"2026",'List Order'!B:B,"Februari",'List Order'!H:H,"Dismantle",'List Order'!I:I,"Colocation")</f>
        <v>0</v>
      </c>
      <c r="AZ20" s="5">
        <f>COUNTIFS('List Order'!C:C,"2026",'List Order'!B:B,"Maret",'List Order'!H:H,"Dismantle",'List Order'!I:I,"Colocation")</f>
        <v>0</v>
      </c>
      <c r="BA20" s="16">
        <f>SUMIFS('List Order'!T:T,'List Order'!C:C,"2026",'List Order'!B:B,"Maret",'List Order'!H:H,"Dismantle",'List Order'!I:I,"Colocation")</f>
        <v>0</v>
      </c>
      <c r="BB20" s="5">
        <f>COUNTIFS('List Order'!C:C,"2026",'List Order'!B:B,"April",'List Order'!H:H,"Dismantle",'List Order'!I:I,"Colocation")</f>
        <v>0</v>
      </c>
      <c r="BC20" s="16">
        <f>SUMIFS('List Order'!T:T,'List Order'!C:C,"2026",'List Order'!B:B,"April",'List Order'!H:H,"Dismantle",'List Order'!I:I,"Colocation")</f>
        <v>0</v>
      </c>
      <c r="BD20" s="5">
        <f>COUNTIFS('List Order'!C:C,"2026",'List Order'!B:B,"Mei",'List Order'!H:H,"Dismantle",'List Order'!I:I,"Colocation")</f>
        <v>0</v>
      </c>
      <c r="BE20" s="16">
        <f>SUMIFS('List Order'!T:T,'List Order'!C:C,"2026",'List Order'!B:B,"Mei",'List Order'!H:H,"Dismantle",'List Order'!I:I,"Colocation")</f>
        <v>0</v>
      </c>
      <c r="BF20" s="5">
        <f>COUNTIFS('List Order'!C:C,"2026",'List Order'!B:B,"Juni",'List Order'!H:H,"Dismantle",'List Order'!I:I,"Colocation")</f>
        <v>0</v>
      </c>
      <c r="BG20" s="16">
        <f>SUMIFS('List Order'!T:T,'List Order'!C:C,"2026",'List Order'!B:B,"Juni",'List Order'!H:H,"Dismantle",'List Order'!I:I,"Colocation")</f>
        <v>0</v>
      </c>
      <c r="BH20" s="5">
        <f>COUNTIFS('List Order'!C:C,"2026",'List Order'!B:B,"Juli",'List Order'!H:H,"Dismantle",'List Order'!I:I,"Colocation")</f>
        <v>0</v>
      </c>
      <c r="BI20" s="16">
        <f>SUMIFS('List Order'!T:T,'List Order'!C:C,"2026",'List Order'!B:B,"Juli",'List Order'!H:H,"Dismantle",'List Order'!I:I,"Colocation")</f>
        <v>0</v>
      </c>
      <c r="BJ20" s="5">
        <f>COUNTIFS('List Order'!C:C,"2026",'List Order'!B:B,"Agustus",'List Order'!H:H,"Dismantle",'List Order'!I:I,"Colocation")</f>
        <v>0</v>
      </c>
      <c r="BK20" s="16">
        <f>SUMIFS('List Order'!T:T,'List Order'!C:C,"2026",'List Order'!B:B,"Agustus",'List Order'!H:H,"Dismantle",'List Order'!I:I,"Colocation")</f>
        <v>0</v>
      </c>
      <c r="BL20" s="5">
        <f>COUNTIFS('List Order'!C:C,"2026",'List Order'!B:B,"September",'List Order'!H:H,"Dismantle",'List Order'!I:I,"Colocation")</f>
        <v>0</v>
      </c>
      <c r="BM20" s="16">
        <f>SUMIFS('List Order'!T:T,'List Order'!C:C,"2026",'List Order'!B:B,"September",'List Order'!H:H,"Dismantle",'List Order'!I:I,"Colocation")</f>
        <v>0</v>
      </c>
      <c r="BN20" s="5">
        <f>COUNTIFS('List Order'!C:C,"2026",'List Order'!B:B,"Oktober",'List Order'!H:H,"Dismantle",'List Order'!I:I,"Colocation")</f>
        <v>0</v>
      </c>
      <c r="BO20" s="16">
        <f>SUMIFS('List Order'!T:T,'List Order'!C:C,"2026",'List Order'!B:B,"Oktober",'List Order'!H:H,"Dismantle",'List Order'!I:I,"Colocation")</f>
        <v>0</v>
      </c>
      <c r="BP20" s="5">
        <f>COUNTIFS('List Order'!C:C,"2026",'List Order'!B:B,"November",'List Order'!H:H,"Dismantle",'List Order'!I:I,"Colocation")</f>
        <v>0</v>
      </c>
      <c r="BQ20" s="16">
        <f>SUMIFS('List Order'!T:T,'List Order'!C:C,"2026",'List Order'!B:B,"November",'List Order'!H:H,"Dismantle",'List Order'!I:I,"Colocation")</f>
        <v>0</v>
      </c>
      <c r="BR20" s="5">
        <f>COUNTIFS('List Order'!C:C,"2026",'List Order'!B:B,"Desember",'List Order'!H:H,"Dismantle",'List Order'!I:I,"Colocation")</f>
        <v>0</v>
      </c>
      <c r="BS20" s="16">
        <f>SUMIFS('List Order'!T:T,'List Order'!C:C,"2026",'List Order'!B:B,"Desember",'List Order'!H:H,"Dismantle",'List Order'!I:I,"Colocation")</f>
        <v>0</v>
      </c>
    </row>
    <row r="21" spans="3:71">
      <c r="C21" s="182"/>
      <c r="D21" s="182"/>
      <c r="E21" s="182"/>
      <c r="F21" s="182"/>
      <c r="G21" s="182"/>
      <c r="H21" s="182"/>
      <c r="AE21" t="s">
        <v>69</v>
      </c>
      <c r="AF21" s="17">
        <f>SUM(AF6:AQ6)</f>
        <v>24</v>
      </c>
      <c r="AG21">
        <f>COUNTIFS('List Project'!C:C,"2026",'List Project'!P:P,"Done",'List Project'!O:O,"Gugum")</f>
        <v>12</v>
      </c>
      <c r="AH21">
        <f>COUNTIFS('List Project'!C:C,"2026",'List Project'!P:P,"OGP",'List Project'!O:O,"Gugum")</f>
        <v>6</v>
      </c>
      <c r="AI21" s="17">
        <f>SUMIFS('List Project'!I:I,'List Project'!O:O,"Gugum",'List Project'!C:C,"2026")</f>
        <v>19349845319.48</v>
      </c>
      <c r="AK21" t="s">
        <v>3234</v>
      </c>
      <c r="AL21" s="17">
        <f>AI18</f>
        <v>0</v>
      </c>
      <c r="AM21" s="17">
        <f>AI19</f>
        <v>172162817869.67999</v>
      </c>
      <c r="AN21" s="17">
        <f>AI20</f>
        <v>26682428370.560001</v>
      </c>
      <c r="AO21" s="17">
        <f>AI21</f>
        <v>19349845319.48</v>
      </c>
      <c r="AU21" s="8" t="s">
        <v>3239</v>
      </c>
      <c r="AV21" s="20">
        <f>AV18+AV13+AV8+AV3</f>
        <v>29</v>
      </c>
      <c r="AW21" s="14"/>
      <c r="AX21" s="20">
        <f>AX18+AX13+AX8+AX3</f>
        <v>12</v>
      </c>
      <c r="AY21" s="14"/>
      <c r="AZ21" s="20">
        <f>AZ18+AZ13+AZ8+AZ3</f>
        <v>23</v>
      </c>
      <c r="BA21" s="14"/>
      <c r="BB21" s="20">
        <f>BB18+BB13+BB8+BB3</f>
        <v>19</v>
      </c>
      <c r="BC21" s="14"/>
      <c r="BD21" s="20">
        <f>BD18+BD13+BD8+BD3</f>
        <v>13</v>
      </c>
      <c r="BE21" s="14"/>
      <c r="BF21" s="20">
        <f>BF18+BF13+BF8+BF3</f>
        <v>17</v>
      </c>
      <c r="BG21" s="14"/>
      <c r="BH21" s="20">
        <f>BH18+BH13+BH8+BH3</f>
        <v>36</v>
      </c>
      <c r="BI21" s="14"/>
      <c r="BJ21" s="20">
        <f>BJ18+BJ13+BJ8+BJ3</f>
        <v>3</v>
      </c>
      <c r="BK21" s="14"/>
      <c r="BL21" s="20">
        <f>BL18+BL13+BL8+BL3</f>
        <v>0</v>
      </c>
      <c r="BM21" s="14"/>
      <c r="BN21" s="20">
        <f>BN18+BN13+BN8+BN3</f>
        <v>0</v>
      </c>
      <c r="BO21" s="14"/>
      <c r="BP21" s="20">
        <f>BP18+BP13+BP8+BP3</f>
        <v>0</v>
      </c>
      <c r="BQ21" s="14"/>
      <c r="BR21" s="20">
        <f>BR18+BR13+BR8+BR3</f>
        <v>0</v>
      </c>
      <c r="BS21" s="14"/>
    </row>
    <row r="22" spans="3:71">
      <c r="AU22" s="22" t="s">
        <v>3240</v>
      </c>
      <c r="AV22" s="23">
        <f>COUNTIFS('List Order'!R:R,"Close",'List Order'!C:C,"2026",'List Order'!B:B,"Januari")</f>
        <v>24</v>
      </c>
      <c r="AW22" s="26"/>
      <c r="AX22" s="24">
        <f>COUNTIFS('List Order'!R:R,"Close",'List Order'!C:C,"2026",'List Order'!B:B,"Februari")</f>
        <v>9</v>
      </c>
      <c r="AY22" s="26"/>
      <c r="AZ22" s="24">
        <f>COUNTIFS('List Order'!R:R,"Close",'List Order'!C:C,"2026",'List Order'!B:B,"Maret")</f>
        <v>6</v>
      </c>
      <c r="BA22" s="26"/>
      <c r="BB22" s="24">
        <f>COUNTIFS('List Order'!R:R,"Close",'List Order'!C:C,"2026",'List Order'!B:B,"April")</f>
        <v>0</v>
      </c>
      <c r="BC22" s="26"/>
      <c r="BD22" s="24">
        <f>COUNTIFS('List Order'!R:R,"Close",'List Order'!C:C,"2026",'List Order'!B:B,"Mei")</f>
        <v>0</v>
      </c>
      <c r="BE22" s="26"/>
      <c r="BF22" s="24">
        <f>COUNTIFS('List Order'!R:R,"Close",'List Order'!C:C,"2026",'List Order'!B:B,"Juni")</f>
        <v>0</v>
      </c>
      <c r="BG22" s="26"/>
      <c r="BH22" s="24">
        <f>COUNTIFS('List Order'!R:R,"Close",'List Order'!C:C,"2026",'List Order'!B:B,"Juli")</f>
        <v>0</v>
      </c>
      <c r="BI22" s="26"/>
      <c r="BJ22" s="24">
        <f>COUNTIFS('List Order'!R:R,"Close",'List Order'!C:C,"2026",'List Order'!B:B,"Agustus")</f>
        <v>0</v>
      </c>
      <c r="BK22" s="26"/>
      <c r="BL22" s="24">
        <f>COUNTIFS('List Order'!R:R,"Close",'List Order'!C:C,"2026",'List Order'!B:B,"September")</f>
        <v>0</v>
      </c>
      <c r="BM22" s="26"/>
      <c r="BN22" s="24">
        <f>COUNTIFS('List Order'!R:R,"Close",'List Order'!C:C,"2026",'List Order'!B:B,"Oktober")</f>
        <v>0</v>
      </c>
      <c r="BO22" s="26"/>
      <c r="BP22" s="24">
        <f>COUNTIFS('List Order'!R:R,"Close",'List Order'!C:C,"2026",'List Order'!B:B,"November")</f>
        <v>0</v>
      </c>
      <c r="BQ22" s="26"/>
      <c r="BR22" s="24">
        <f>COUNTIFS('List Order'!R:R,"Close",'List Order'!C:C,"2026",'List Order'!B:B,"Desember")</f>
        <v>0</v>
      </c>
      <c r="BS22" s="26"/>
    </row>
    <row r="23" spans="3:71">
      <c r="AF23" s="13" t="s">
        <v>23</v>
      </c>
      <c r="AG23" s="13" t="s">
        <v>96</v>
      </c>
      <c r="AH23" s="13" t="s">
        <v>144</v>
      </c>
      <c r="AI23" s="13" t="s">
        <v>183</v>
      </c>
      <c r="AJ23" s="13" t="s">
        <v>212</v>
      </c>
      <c r="AK23" s="13" t="s">
        <v>261</v>
      </c>
      <c r="AL23" s="13" t="s">
        <v>274</v>
      </c>
      <c r="AM23" s="13" t="s">
        <v>303</v>
      </c>
      <c r="AN23" s="13" t="s">
        <v>338</v>
      </c>
      <c r="AO23" s="13" t="s">
        <v>358</v>
      </c>
      <c r="AP23" s="13" t="s">
        <v>384</v>
      </c>
      <c r="AQ23" s="13" t="s">
        <v>408</v>
      </c>
      <c r="AU23" s="1" t="s">
        <v>3241</v>
      </c>
      <c r="AV23" s="19">
        <f>COUNTIFS('List Order'!R:R,"Open",'List Order'!C:C,"2026",'List Order'!B:B,"Januari")</f>
        <v>5</v>
      </c>
      <c r="AW23" s="21"/>
      <c r="AX23" s="3">
        <f>COUNTIFS('List Order'!R:R,"Open",'List Order'!C:C,"2026",'List Order'!B:B,"Februari")</f>
        <v>3</v>
      </c>
      <c r="AY23" s="21"/>
      <c r="AZ23" s="3">
        <f>COUNTIFS('List Order'!R:R,"Open",'List Order'!C:C,"2026",'List Order'!B:B,"Maret")</f>
        <v>9</v>
      </c>
      <c r="BA23" s="21"/>
      <c r="BB23" s="3">
        <f>COUNTIFS('List Order'!R:R,"Open",'List Order'!C:C,"2026",'List Order'!B:B,"April")</f>
        <v>0</v>
      </c>
      <c r="BC23" s="21"/>
      <c r="BD23" s="3">
        <f>COUNTIFS('List Order'!R:R,"Open",'List Order'!C:C,"2026",'List Order'!B:B,"Mei")</f>
        <v>0</v>
      </c>
      <c r="BE23" s="21"/>
      <c r="BF23" s="3">
        <f>COUNTIFS('List Order'!R:R,"Open",'List Order'!C:C,"2026",'List Order'!B:B,"Juni")</f>
        <v>0</v>
      </c>
      <c r="BG23" s="21"/>
      <c r="BH23" s="3">
        <f>COUNTIFS('List Order'!R:R,"Open",'List Order'!C:C,"2026",'List Order'!B:B,"Juli")</f>
        <v>0</v>
      </c>
      <c r="BI23" s="21"/>
      <c r="BJ23" s="3">
        <f>COUNTIFS('List Order'!R:R,"Open",'List Order'!C:C,"2026",'List Order'!B:B,"Agustus")</f>
        <v>0</v>
      </c>
      <c r="BK23" s="21"/>
      <c r="BL23" s="3">
        <f>COUNTIFS('List Order'!R:R,"Open",'List Order'!C:C,"2026",'List Order'!B:B,"September")</f>
        <v>0</v>
      </c>
      <c r="BM23" s="21"/>
      <c r="BN23" s="3">
        <f>COUNTIFS('List Order'!R:R,"Open",'List Order'!C:C,"2026",'List Order'!B:B,"Oktober")</f>
        <v>0</v>
      </c>
      <c r="BO23" s="21"/>
      <c r="BP23" s="3">
        <f>COUNTIFS('List Order'!R:R,"Open",'List Order'!C:C,"2026",'List Order'!B:B,"November")</f>
        <v>0</v>
      </c>
      <c r="BQ23" s="21"/>
      <c r="BR23" s="3">
        <f>COUNTIFS('List Order'!R:R,"Open",'List Order'!C:C,"2026",'List Order'!B:B,"Desember")</f>
        <v>0</v>
      </c>
      <c r="BS23" s="21"/>
    </row>
    <row r="24" spans="3:71">
      <c r="AE24" t="s">
        <v>3242</v>
      </c>
      <c r="AF24" s="17">
        <f>AW4+AW5+AW6+AW9+AW10+AW14+AW15+AW19</f>
        <v>0</v>
      </c>
      <c r="AG24" s="17">
        <f>AY4+AY5+AY6+AY9+AY10+AY14+AY15+AY19</f>
        <v>0</v>
      </c>
      <c r="AH24" s="17">
        <f>BA4+BA5+BA6+BA9+BA10+BA14+BA15+BA19</f>
        <v>0</v>
      </c>
      <c r="AI24" s="17">
        <f>BC4+BC5+BC6+BC9+BC10+BC14+BC15+BC19</f>
        <v>0</v>
      </c>
      <c r="AJ24" s="17">
        <f>BE4+BE5+BE6+BE9+BE10+BE14+BE15+BE19</f>
        <v>0</v>
      </c>
      <c r="AK24" s="17">
        <f>BG4+BG5+BG6+BG9+BG10+BG14+BG15+BG19</f>
        <v>0</v>
      </c>
      <c r="AL24" s="17">
        <f>BI4+BI5+BI6+BI9+BI10+BI14+BI15+BI19</f>
        <v>0</v>
      </c>
      <c r="AM24" s="17">
        <f>BK4+BK5+BK6+BK9+BK10+BK14+BK15+BK19</f>
        <v>0</v>
      </c>
      <c r="AN24" s="17">
        <f>BM4+BM5+BM6+BM9+BM10+BM14+BM15+BM19</f>
        <v>0</v>
      </c>
      <c r="AO24" s="17">
        <f>BO4+BO5+BO6+BO9+BO10+BO14+BO15+BO19</f>
        <v>0</v>
      </c>
      <c r="AP24" s="17">
        <f>BQ4+BQ5+BQ6+BQ9+BQ10+BQ14+BQ15+BQ19</f>
        <v>0</v>
      </c>
      <c r="AQ24" s="17">
        <f>BS4+BS5+BS6+BS9+BS10+BS14+BS15+BS19</f>
        <v>0</v>
      </c>
    </row>
    <row r="25" spans="3:71">
      <c r="AE25" t="s">
        <v>3243</v>
      </c>
      <c r="AF25" s="17">
        <f>AW7+AW11+AW12+AW16+AW17+AW20</f>
        <v>0</v>
      </c>
      <c r="AG25" s="17">
        <f>AY7+AY11+AY12+AY16+AY17+AY20</f>
        <v>0</v>
      </c>
      <c r="AH25" s="17">
        <f>BA7+BA11+BA12+BA16+BA17+BA20</f>
        <v>0</v>
      </c>
      <c r="AI25" s="17">
        <f>BC7+BC11+BC12+BC16+BC17+BC20</f>
        <v>0</v>
      </c>
      <c r="AJ25" s="17">
        <f>BE7+BE11+BE12+BE16+BE17+BE20</f>
        <v>0</v>
      </c>
      <c r="AK25" s="17">
        <f>BG7+BG11+BG12+BG16+BG17+BG20</f>
        <v>0</v>
      </c>
      <c r="AL25" s="17">
        <f>BI7+BI11+BI12+BI16+BI17+BI20</f>
        <v>0</v>
      </c>
      <c r="AM25" s="17">
        <f>BK7+BK11+BK12+BK16+BK17+BK20</f>
        <v>0</v>
      </c>
      <c r="AN25" s="17">
        <f>BM7+BM11+BM12+BM16+BM17+BM20</f>
        <v>0</v>
      </c>
      <c r="AO25" s="17">
        <f>BO7+BO11+BO12+BO16+BO17+BO20</f>
        <v>0</v>
      </c>
      <c r="AP25" s="17">
        <f>BQ7+BQ11+BQ12+BQ16+BQ17+BQ20</f>
        <v>0</v>
      </c>
      <c r="AQ25" s="17">
        <f>BS7+BS11+BS12+BS16+BS17+BS20</f>
        <v>0</v>
      </c>
      <c r="AW25" s="17">
        <f>AW3+AW8</f>
        <v>0</v>
      </c>
      <c r="AY25" s="17">
        <f>AY3+AY8</f>
        <v>0</v>
      </c>
      <c r="BA25" s="17">
        <f>BA3+BA8</f>
        <v>0</v>
      </c>
      <c r="BC25" s="17">
        <f>BC3+BC8</f>
        <v>0</v>
      </c>
      <c r="BE25" s="17">
        <f>BE3+BE8</f>
        <v>0</v>
      </c>
      <c r="BG25" s="17">
        <f>BG3+BG8</f>
        <v>0</v>
      </c>
      <c r="BI25" s="17">
        <f>BI3+BI8</f>
        <v>0</v>
      </c>
    </row>
    <row r="26" spans="3:71">
      <c r="AE26" t="s">
        <v>3244</v>
      </c>
      <c r="AF26">
        <f>AV4+AV5+AV6+AV9+AV10+AV14+AV15+AV19</f>
        <v>10</v>
      </c>
      <c r="AG26">
        <f>AX4+AX5+AX6+AX9+AX10+AX14+AX15+AX19</f>
        <v>8</v>
      </c>
      <c r="AH26">
        <f>AZ4+AZ5+AZ6+AZ9+AZ10+AZ14+AZ15+AZ19</f>
        <v>18</v>
      </c>
      <c r="AI26">
        <f>BB4+BB5+BB6+BB9+BB10+BB14+BB15+BB19</f>
        <v>2</v>
      </c>
      <c r="AJ26">
        <f>BD4+BD5+BD6+BD9+BD10+BD14+BD15+BD19</f>
        <v>7</v>
      </c>
      <c r="AK26">
        <f>BF4+BF5+BF6+BF9+BF10+BF14+BF15+BF19</f>
        <v>6</v>
      </c>
      <c r="AL26">
        <f>BH4+BH5+BH6+BH9+BH10+BH14+BH15+BH19</f>
        <v>15</v>
      </c>
      <c r="AM26">
        <f>BJ4+BJ5+BJ6+BJ9+BJ10+BJ14+BJ15+BJ19</f>
        <v>2</v>
      </c>
      <c r="AN26">
        <f>BL4+BL5+BL6+BL9+BL10+BL14+BL15+BL19</f>
        <v>0</v>
      </c>
      <c r="AO26">
        <f>BN4+BN5+BN6+BN9+BN10+BN14+BN15+BN19</f>
        <v>0</v>
      </c>
      <c r="AP26">
        <f>BP4+BP5+BP6+BP9+BP10+BP14+BP15+BP19</f>
        <v>0</v>
      </c>
      <c r="AQ26">
        <f>BR4+BR5+BR6+BR9+BR10+BR14+BR15+BR19</f>
        <v>0</v>
      </c>
      <c r="AY26" s="17">
        <f>AW25+AY25</f>
        <v>0</v>
      </c>
      <c r="BA26" s="17">
        <f>AY26+BA25</f>
        <v>0</v>
      </c>
      <c r="BC26" s="17">
        <f>BA26+BC25</f>
        <v>0</v>
      </c>
      <c r="BE26" s="17">
        <f>BC26+BE25</f>
        <v>0</v>
      </c>
      <c r="BG26" s="17">
        <f>BE26+BG25</f>
        <v>0</v>
      </c>
    </row>
    <row r="27" spans="3:71">
      <c r="AE27" t="s">
        <v>3245</v>
      </c>
      <c r="AF27">
        <f>AV7+AV11+AV12+AV16+AV17+AV20</f>
        <v>10</v>
      </c>
      <c r="AG27">
        <f>AX7+AX11+AX12+AX16+AX17+AX20</f>
        <v>1</v>
      </c>
      <c r="AH27">
        <f>AZ7+AZ11+AZ12+AZ16+AZ17+AZ20</f>
        <v>2</v>
      </c>
      <c r="AI27">
        <f>BB7+BB11+BB12+BB16+BB17+BB20</f>
        <v>16</v>
      </c>
      <c r="AJ27">
        <f>BD7+BD11+BD12+BD16+BD17+BD20</f>
        <v>3</v>
      </c>
      <c r="AK27">
        <f>BF7+BF11+BF12+BF16+BF17+BF20</f>
        <v>8</v>
      </c>
      <c r="AL27">
        <f>BH7+BH11+BH12+BH16+BH17+BH20</f>
        <v>16</v>
      </c>
      <c r="AM27">
        <f>BJ7+BJ11+BJ12+BJ16+BJ17+BJ20</f>
        <v>1</v>
      </c>
      <c r="AN27">
        <f>BL7+BL11+BL12+BL16+BL17+BL20</f>
        <v>0</v>
      </c>
      <c r="AO27">
        <f>BN7+BN11+BN12+BN16+BN17+BN20</f>
        <v>0</v>
      </c>
      <c r="AP27">
        <f>BP7+BP11+BP12+BP16+BP17+BP20</f>
        <v>0</v>
      </c>
      <c r="AQ27">
        <f>BR7+BR11+BR12+BR16+BR17+BR20</f>
        <v>0</v>
      </c>
      <c r="AW27" s="35"/>
      <c r="AY27" s="17"/>
      <c r="BA27" s="17"/>
      <c r="BC27" s="17"/>
      <c r="BE27" s="17"/>
      <c r="BG27" s="17"/>
      <c r="BI27" s="17"/>
      <c r="BK27" s="17"/>
      <c r="BM27" s="17"/>
      <c r="BO27" s="17"/>
      <c r="BQ27" s="17"/>
      <c r="BS27" s="17"/>
    </row>
    <row r="28" spans="3:71">
      <c r="AW28" s="35"/>
      <c r="AY28" s="17"/>
      <c r="BA28" s="17"/>
      <c r="BC28" s="17"/>
      <c r="BE28" s="17"/>
      <c r="BG28" s="17"/>
      <c r="BI28" s="17"/>
      <c r="BK28" s="17"/>
      <c r="BM28" s="17"/>
      <c r="BO28" s="17"/>
      <c r="BQ28" s="17"/>
      <c r="BS28" s="17"/>
    </row>
    <row r="29" spans="3:71">
      <c r="AF29" s="13" t="s">
        <v>23</v>
      </c>
      <c r="AG29" s="13" t="s">
        <v>96</v>
      </c>
      <c r="AH29" s="13" t="s">
        <v>144</v>
      </c>
      <c r="AI29" s="13" t="s">
        <v>183</v>
      </c>
      <c r="AJ29" s="13" t="s">
        <v>212</v>
      </c>
      <c r="AK29" s="13" t="s">
        <v>261</v>
      </c>
      <c r="AL29" s="13" t="s">
        <v>274</v>
      </c>
      <c r="AM29" s="13" t="s">
        <v>303</v>
      </c>
      <c r="AN29" s="13" t="s">
        <v>338</v>
      </c>
      <c r="AO29" s="13" t="s">
        <v>358</v>
      </c>
      <c r="AP29" s="13" t="s">
        <v>384</v>
      </c>
      <c r="AQ29" s="13" t="s">
        <v>408</v>
      </c>
      <c r="AW29" s="35"/>
      <c r="AY29" s="17"/>
      <c r="BA29" s="17"/>
      <c r="BC29" s="17"/>
      <c r="BE29" s="17"/>
      <c r="BG29" s="17"/>
      <c r="BI29" s="17"/>
      <c r="BK29" s="17"/>
      <c r="BM29" s="17"/>
      <c r="BO29" s="17"/>
      <c r="BQ29" s="17"/>
      <c r="BS29" s="17"/>
    </row>
    <row r="30" spans="3:71">
      <c r="AE30" t="s">
        <v>3246</v>
      </c>
      <c r="AF30" s="17">
        <f>'Sum 2024'!AQ30+'Sum 2024'!AQ24-'Sum 2024'!AQ25</f>
        <v>3058255645</v>
      </c>
      <c r="AG30" s="17">
        <f>AF30+AF24-AF25</f>
        <v>3058255645</v>
      </c>
      <c r="AH30" s="17">
        <f>AG30+AG24-AG25</f>
        <v>3058255645</v>
      </c>
      <c r="AI30" s="17">
        <f t="shared" ref="AI30:AQ30" si="1">AH30+AH24-AH25</f>
        <v>3058255645</v>
      </c>
      <c r="AJ30" s="17">
        <f t="shared" si="1"/>
        <v>3058255645</v>
      </c>
      <c r="AK30" s="17">
        <f t="shared" si="1"/>
        <v>3058255645</v>
      </c>
      <c r="AL30" s="17">
        <f t="shared" si="1"/>
        <v>3058255645</v>
      </c>
      <c r="AM30" s="17">
        <f t="shared" si="1"/>
        <v>3058255645</v>
      </c>
      <c r="AN30" s="17">
        <f t="shared" si="1"/>
        <v>3058255645</v>
      </c>
      <c r="AO30" s="17">
        <f t="shared" si="1"/>
        <v>3058255645</v>
      </c>
      <c r="AP30" s="17">
        <f t="shared" si="1"/>
        <v>3058255645</v>
      </c>
      <c r="AQ30" s="17">
        <f t="shared" si="1"/>
        <v>3058255645</v>
      </c>
      <c r="AW30" s="35"/>
      <c r="AY30" s="17"/>
      <c r="BA30" s="17"/>
      <c r="BC30" s="17"/>
      <c r="BE30" s="17"/>
      <c r="BG30" s="17"/>
      <c r="BI30" s="17"/>
      <c r="BK30" s="17"/>
      <c r="BM30" s="17"/>
      <c r="BO30" s="17"/>
      <c r="BQ30" s="17"/>
      <c r="BS30" s="17"/>
    </row>
    <row r="31" spans="3:71">
      <c r="AE31" t="s">
        <v>3247</v>
      </c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W31" s="35"/>
      <c r="AY31" s="17"/>
      <c r="BA31" s="17"/>
      <c r="BC31" s="17"/>
      <c r="BE31" s="17"/>
      <c r="BG31" s="17"/>
      <c r="BI31" s="17"/>
      <c r="BK31" s="17"/>
      <c r="BM31" s="17"/>
      <c r="BO31" s="17"/>
      <c r="BQ31" s="17"/>
      <c r="BS31" s="17"/>
    </row>
    <row r="32" spans="3:71">
      <c r="AE32" t="s">
        <v>3244</v>
      </c>
      <c r="AF32">
        <f>AF26</f>
        <v>10</v>
      </c>
      <c r="AG32">
        <f>AG26</f>
        <v>8</v>
      </c>
      <c r="AH32">
        <f t="shared" ref="AH32:AQ33" si="2">AH26</f>
        <v>18</v>
      </c>
      <c r="AI32">
        <f t="shared" si="2"/>
        <v>2</v>
      </c>
      <c r="AJ32">
        <f t="shared" si="2"/>
        <v>7</v>
      </c>
      <c r="AK32">
        <f t="shared" si="2"/>
        <v>6</v>
      </c>
      <c r="AL32">
        <f t="shared" si="2"/>
        <v>15</v>
      </c>
      <c r="AM32">
        <f t="shared" si="2"/>
        <v>2</v>
      </c>
      <c r="AN32">
        <f t="shared" si="2"/>
        <v>0</v>
      </c>
      <c r="AO32">
        <f t="shared" si="2"/>
        <v>0</v>
      </c>
      <c r="AP32">
        <f t="shared" si="2"/>
        <v>0</v>
      </c>
      <c r="AQ32">
        <f t="shared" si="2"/>
        <v>0</v>
      </c>
      <c r="AW32" s="35"/>
      <c r="AY32" s="17"/>
      <c r="BA32" s="17"/>
      <c r="BC32" s="17"/>
      <c r="BE32" s="17"/>
      <c r="BG32" s="17"/>
      <c r="BI32" s="17"/>
      <c r="BK32" s="17"/>
      <c r="BM32" s="17"/>
      <c r="BO32" s="17"/>
      <c r="BQ32" s="17"/>
      <c r="BS32" s="17"/>
    </row>
    <row r="33" spans="31:71">
      <c r="AE33" t="s">
        <v>3245</v>
      </c>
      <c r="AF33">
        <f>AF27</f>
        <v>10</v>
      </c>
      <c r="AG33">
        <f>AG27</f>
        <v>1</v>
      </c>
      <c r="AH33">
        <f t="shared" si="2"/>
        <v>2</v>
      </c>
      <c r="AI33">
        <f t="shared" si="2"/>
        <v>16</v>
      </c>
      <c r="AJ33">
        <f t="shared" si="2"/>
        <v>3</v>
      </c>
      <c r="AK33">
        <f t="shared" si="2"/>
        <v>8</v>
      </c>
      <c r="AL33">
        <f t="shared" si="2"/>
        <v>16</v>
      </c>
      <c r="AM33">
        <f t="shared" si="2"/>
        <v>1</v>
      </c>
      <c r="AN33">
        <f t="shared" si="2"/>
        <v>0</v>
      </c>
      <c r="AO33">
        <f t="shared" si="2"/>
        <v>0</v>
      </c>
      <c r="AP33">
        <f t="shared" si="2"/>
        <v>0</v>
      </c>
      <c r="AQ33">
        <f t="shared" si="2"/>
        <v>0</v>
      </c>
      <c r="AW33" s="35"/>
      <c r="AY33" s="17"/>
      <c r="BA33" s="17"/>
      <c r="BC33" s="17"/>
      <c r="BE33" s="17"/>
      <c r="BG33" s="17"/>
      <c r="BI33" s="17"/>
      <c r="BK33" s="17"/>
      <c r="BM33" s="17"/>
      <c r="BO33" s="17"/>
      <c r="BQ33" s="17"/>
      <c r="BS33" s="17"/>
    </row>
    <row r="34" spans="31:71">
      <c r="AW34" s="35"/>
      <c r="AY34" s="17"/>
      <c r="BA34" s="17"/>
      <c r="BC34" s="17"/>
      <c r="BE34" s="17"/>
      <c r="BG34" s="17"/>
      <c r="BI34" s="17"/>
      <c r="BK34" s="17"/>
      <c r="BM34" s="17"/>
      <c r="BO34" s="17"/>
      <c r="BQ34" s="17"/>
      <c r="BS34" s="17"/>
    </row>
    <row r="35" spans="31:71">
      <c r="AO35" t="s">
        <v>3248</v>
      </c>
      <c r="AW35" s="35"/>
      <c r="AY35" s="17"/>
      <c r="BA35" s="17"/>
      <c r="BC35" s="17"/>
      <c r="BE35" s="17"/>
      <c r="BG35" s="17"/>
      <c r="BI35" s="17"/>
      <c r="BK35" s="17"/>
      <c r="BM35" s="17"/>
      <c r="BO35" s="17"/>
      <c r="BQ35" s="17"/>
      <c r="BS35" s="17"/>
    </row>
    <row r="36" spans="31:71">
      <c r="AN36" t="s">
        <v>1171</v>
      </c>
      <c r="AO36">
        <f>COUNTIFS('List Order'!C:C,"2026",'List Order'!H:H,"&lt;&gt;Dismantle",'List Order'!R:R,"Open")</f>
        <v>17</v>
      </c>
      <c r="AP36">
        <f>COUNTIFS('List Order'!C:C,"2026",'List Order'!H:H,"&lt;&gt;Dismantle",'List Order'!R:R,"Open")</f>
        <v>17</v>
      </c>
      <c r="AW36" s="35"/>
      <c r="AY36" s="17"/>
      <c r="BA36" s="17"/>
      <c r="BC36" s="17"/>
      <c r="BE36" s="17"/>
      <c r="BG36" s="17"/>
      <c r="BI36" s="17"/>
      <c r="BK36" s="17"/>
      <c r="BM36" s="17"/>
      <c r="BO36" s="17"/>
      <c r="BQ36" s="17"/>
      <c r="BS36" s="17"/>
    </row>
    <row r="37" spans="31:71">
      <c r="AN37" t="s">
        <v>970</v>
      </c>
      <c r="AO37">
        <f>COUNTIFS('List Order'!C:C,"2026",'List Order'!H:H,"&lt;&gt;Dismantle",'List Order'!R:R,"Close")</f>
        <v>26</v>
      </c>
      <c r="AP37">
        <f>COUNTIFS('List Order'!C:C,"2026",'List Order'!H:H,"&lt;&gt;Dismantle",'List Order'!R:R,"Close")</f>
        <v>26</v>
      </c>
      <c r="AW37" s="35"/>
      <c r="AY37" s="17"/>
      <c r="BA37" s="17"/>
      <c r="BC37" s="17"/>
      <c r="BE37" s="17"/>
      <c r="BG37" s="17"/>
      <c r="BI37" s="17"/>
      <c r="BK37" s="17"/>
      <c r="BM37" s="17"/>
      <c r="BO37" s="17"/>
      <c r="BQ37" s="17"/>
      <c r="BS37" s="17"/>
    </row>
    <row r="38" spans="31:71">
      <c r="AP38">
        <f>SUM(AP36:AP37)</f>
        <v>43</v>
      </c>
      <c r="AW38" s="35"/>
      <c r="AY38" s="17"/>
      <c r="BA38" s="17"/>
      <c r="BC38" s="17"/>
      <c r="BE38" s="17"/>
      <c r="BG38" s="17"/>
      <c r="BI38" s="17"/>
      <c r="BK38" s="17"/>
      <c r="BM38" s="17"/>
      <c r="BO38" s="17"/>
      <c r="BQ38" s="17"/>
      <c r="BS38" s="17"/>
    </row>
    <row r="39" spans="31:71">
      <c r="AW39" s="35"/>
      <c r="AY39" s="17"/>
      <c r="BA39" s="17"/>
      <c r="BC39" s="17"/>
      <c r="BE39" s="17"/>
      <c r="BG39" s="17"/>
      <c r="BI39" s="17"/>
      <c r="BK39" s="17"/>
      <c r="BM39" s="17"/>
      <c r="BO39" s="17"/>
      <c r="BQ39" s="17"/>
      <c r="BS39" s="17"/>
    </row>
    <row r="40" spans="31:71">
      <c r="AW40" s="35"/>
      <c r="AY40" s="17"/>
      <c r="BA40" s="17"/>
      <c r="BC40" s="17"/>
      <c r="BE40" s="17"/>
      <c r="BG40" s="17"/>
      <c r="BI40" s="17"/>
      <c r="BK40" s="17"/>
      <c r="BM40" s="17"/>
      <c r="BO40" s="17"/>
      <c r="BQ40" s="17"/>
      <c r="BS40" s="17"/>
    </row>
    <row r="41" spans="31:71">
      <c r="AW41" s="35"/>
      <c r="AY41" s="17"/>
      <c r="BA41" s="17"/>
      <c r="BC41" s="17"/>
      <c r="BE41" s="17"/>
      <c r="BG41" s="17"/>
      <c r="BI41" s="17"/>
      <c r="BK41" s="17"/>
      <c r="BM41" s="17"/>
      <c r="BO41" s="17"/>
      <c r="BQ41" s="17"/>
      <c r="BS41" s="17"/>
    </row>
    <row r="42" spans="31:71">
      <c r="AW42" s="35"/>
      <c r="AY42" s="17"/>
      <c r="BA42" s="17"/>
      <c r="BC42" s="17"/>
      <c r="BE42" s="17"/>
      <c r="BG42" s="17"/>
      <c r="BI42" s="17"/>
      <c r="BK42" s="17"/>
      <c r="BM42" s="17"/>
      <c r="BO42" s="17"/>
      <c r="BQ42" s="17"/>
      <c r="BS42" s="17"/>
    </row>
    <row r="43" spans="31:71">
      <c r="AW43" s="35"/>
      <c r="AY43" s="17"/>
      <c r="BA43" s="17"/>
      <c r="BC43" s="17"/>
      <c r="BE43" s="17"/>
      <c r="BG43" s="17"/>
      <c r="BI43" s="17"/>
      <c r="BK43" s="17"/>
      <c r="BM43" s="17"/>
      <c r="BO43" s="17"/>
      <c r="BQ43" s="17"/>
      <c r="BS43" s="17"/>
    </row>
    <row r="44" spans="31:71">
      <c r="AW44" s="35"/>
      <c r="AY44" s="17"/>
      <c r="BA44" s="17"/>
      <c r="BC44" s="17"/>
      <c r="BE44" s="17"/>
      <c r="BG44" s="17"/>
      <c r="BI44" s="17"/>
      <c r="BK44" s="17"/>
      <c r="BM44" s="17"/>
      <c r="BO44" s="17"/>
      <c r="BQ44" s="17"/>
      <c r="BS44" s="17"/>
    </row>
    <row r="45" spans="31:71">
      <c r="AW45" s="35"/>
      <c r="AY45" s="17"/>
      <c r="BA45" s="17"/>
      <c r="BC45" s="17"/>
      <c r="BE45" s="17"/>
      <c r="BG45" s="17"/>
      <c r="BI45" s="17"/>
      <c r="BK45" s="17"/>
      <c r="BM45" s="17"/>
      <c r="BO45" s="17"/>
      <c r="BQ45" s="17"/>
      <c r="BS45" s="17"/>
    </row>
    <row r="46" spans="31:71">
      <c r="AW46" s="35"/>
      <c r="AY46" s="17"/>
      <c r="BA46" s="17"/>
      <c r="BC46" s="17"/>
      <c r="BE46" s="17"/>
      <c r="BG46" s="17"/>
      <c r="BI46" s="17"/>
      <c r="BK46" s="17"/>
      <c r="BM46" s="17"/>
      <c r="BO46" s="17"/>
      <c r="BQ46" s="17"/>
      <c r="BS46" s="17"/>
    </row>
    <row r="47" spans="31:71">
      <c r="AW47" s="35"/>
      <c r="AY47" s="17"/>
      <c r="BA47" s="17"/>
      <c r="BC47" s="17"/>
      <c r="BE47" s="17"/>
      <c r="BG47" s="17"/>
      <c r="BI47" s="17"/>
      <c r="BK47" s="17"/>
      <c r="BM47" s="17"/>
      <c r="BO47" s="17"/>
      <c r="BQ47" s="17"/>
      <c r="BS47" s="17"/>
    </row>
    <row r="50" spans="31:36">
      <c r="AF50" s="13"/>
      <c r="AG50" s="154" t="s">
        <v>16</v>
      </c>
      <c r="AH50" s="154" t="s">
        <v>17</v>
      </c>
      <c r="AI50" s="154" t="s">
        <v>18</v>
      </c>
      <c r="AJ50" s="154" t="s">
        <v>19</v>
      </c>
    </row>
    <row r="51" spans="31:36">
      <c r="AF51" t="s">
        <v>45</v>
      </c>
      <c r="AG51" s="103">
        <f>COUNTIFS('List Project'!C:C,"2026",'List Project'!P:P,"OGP",'List Project'!O:O,"Adi",'List Project'!Q:Q,"OGP")</f>
        <v>0</v>
      </c>
      <c r="AH51" s="103">
        <f>COUNTIFS('List Project'!C:C,"2026",'List Project'!P:P,"OGP",'List Project'!O:O,"Adi",'List Project'!R:R,"OGP")</f>
        <v>0</v>
      </c>
      <c r="AI51" s="103">
        <f>COUNTIFS('List Project'!C:C,"2026",'List Project'!P:P,"OGP",'List Project'!O:O,"Adi",'List Project'!S:S,"OGP")</f>
        <v>0</v>
      </c>
      <c r="AJ51" s="103">
        <f>COUNTIFS('List Project'!C:C,"2026",'List Project'!P:P,"OGP",'List Project'!O:O,"Adi",'List Project'!T:T,"OGP")</f>
        <v>0</v>
      </c>
    </row>
    <row r="52" spans="31:36">
      <c r="AF52" t="s">
        <v>51</v>
      </c>
      <c r="AG52" s="103">
        <f>COUNTIFS('List Project'!C:C,"2026",'List Project'!P:P,"OGP",'List Project'!O:O,"Dwi",'List Project'!Q:Q,"OGP")</f>
        <v>0</v>
      </c>
      <c r="AH52" s="103">
        <f>COUNTIFS('List Project'!C:C,"2026",'List Project'!P:P,"OGP",'List Project'!O:O,"Dwi",'List Project'!R:R,"OGP")</f>
        <v>0</v>
      </c>
      <c r="AI52" s="103">
        <f>COUNTIFS('List Project'!C:C,"2026",'List Project'!P:P,"OGP",'List Project'!O:O,"Dwi",'List Project'!S:S,"OGP")</f>
        <v>0</v>
      </c>
      <c r="AJ52" s="103">
        <f>COUNTIFS('List Project'!C:C,"2026",'List Project'!P:P,"OGP",'List Project'!O:O,"Dwi",'List Project'!T:T,"OGP")</f>
        <v>0</v>
      </c>
    </row>
    <row r="53" spans="31:36">
      <c r="AF53" t="s">
        <v>31</v>
      </c>
      <c r="AG53" s="103">
        <f>COUNTIFS('List Project'!C:C,"2026",'List Project'!P:P,"OGP",'List Project'!O:O,"Duta",'List Project'!Q:Q,"OGP")</f>
        <v>0</v>
      </c>
      <c r="AH53" s="103">
        <f>COUNTIFS('List Project'!C:C,"2026",'List Project'!P:P,"OGP",'List Project'!O:O,"Duta",'List Project'!R:R,"OGP")</f>
        <v>0</v>
      </c>
      <c r="AI53" s="103">
        <f>COUNTIFS('List Project'!C:C,"2026",'List Project'!P:P,"OGP",'List Project'!O:O,"Duta",'List Project'!S:S,"OGP")</f>
        <v>0</v>
      </c>
      <c r="AJ53" s="103">
        <f>COUNTIFS('List Project'!C:C,"2026",'List Project'!P:P,"OGP",'List Project'!O:O,"Duta",'List Project'!T:T,"OGP")</f>
        <v>0</v>
      </c>
    </row>
    <row r="54" spans="31:36">
      <c r="AF54" t="s">
        <v>69</v>
      </c>
      <c r="AG54" s="103">
        <f>COUNTIFS('List Project'!C:C,"2026",'List Project'!P:P,"OGP",'List Project'!O:O,"Gugum",'List Project'!Q:Q,"OGP")</f>
        <v>2</v>
      </c>
      <c r="AH54" s="103">
        <f>COUNTIFS('List Project'!C:C,"2026",'List Project'!P:P,"OGP",'List Project'!O:O,"Gugum",'List Project'!R:R,"OGP")</f>
        <v>0</v>
      </c>
      <c r="AI54" s="103">
        <f>COUNTIFS('List Project'!C:C,"2026",'List Project'!P:P,"OGP",'List Project'!O:O,"Gugum",'List Project'!S:S,"OGP")</f>
        <v>0</v>
      </c>
      <c r="AJ54" s="103">
        <f>COUNTIFS('List Project'!C:C,"2026",'List Project'!P:P,"OGP",'List Project'!O:O,"Gugum",'List Project'!T:T,"OGP")</f>
        <v>0</v>
      </c>
    </row>
    <row r="57" spans="31:36">
      <c r="AF57" t="s">
        <v>45</v>
      </c>
      <c r="AG57" t="s">
        <v>51</v>
      </c>
      <c r="AH57" t="s">
        <v>31</v>
      </c>
      <c r="AI57" t="s">
        <v>69</v>
      </c>
    </row>
    <row r="58" spans="31:36">
      <c r="AE58" t="s">
        <v>16</v>
      </c>
      <c r="AF58">
        <f>COUNTIFS('List Project'!C:C,"2026",'List Project'!P:P,"OGP",'List Project'!O:O,"Adi",'List Project'!Q:Q,"OGP")</f>
        <v>0</v>
      </c>
      <c r="AG58">
        <f>COUNTIFS('List Project'!C:C,"2026",'List Project'!P:P,"OGP",'List Project'!O:O,"Dwi",'List Project'!Q:Q,"OGP")</f>
        <v>0</v>
      </c>
      <c r="AH58">
        <f>COUNTIFS('List Project'!C:C,"2026",'List Project'!P:P,"OGP",'List Project'!O:O,"Duta",'List Project'!Q:Q,"OGP")</f>
        <v>0</v>
      </c>
      <c r="AI58">
        <f>COUNTIFS('List Project'!C:C,"2026",'List Project'!P:P,"OGP",'List Project'!O:O,"Gugum",'List Project'!Q:Q,"OGP")</f>
        <v>2</v>
      </c>
    </row>
    <row r="59" spans="31:36">
      <c r="AE59" t="s">
        <v>17</v>
      </c>
      <c r="AF59">
        <f>COUNTIFS('List Project'!C:C,"2026",'List Project'!P:P,"OGP",'List Project'!O:O,"Adi",'List Project'!R:R,"OGP")</f>
        <v>0</v>
      </c>
      <c r="AG59">
        <f>COUNTIFS('List Project'!C:C,"2026",'List Project'!P:P,"OGP",'List Project'!O:O,"Dwi",'List Project'!R:R,"OGP")</f>
        <v>0</v>
      </c>
      <c r="AH59">
        <f>COUNTIFS('List Project'!C:C,"2026",'List Project'!P:P,"OGP",'List Project'!O:O,"Duta",'List Project'!R:R,"OGP")</f>
        <v>0</v>
      </c>
      <c r="AI59">
        <f>COUNTIFS('List Project'!C:C,"2026",'List Project'!P:P,"OGP",'List Project'!O:O,"Gugum",'List Project'!R:R,"OGP")</f>
        <v>0</v>
      </c>
    </row>
    <row r="60" spans="31:36">
      <c r="AE60" t="s">
        <v>18</v>
      </c>
      <c r="AF60">
        <f>COUNTIFS('List Project'!C:C,"2026",'List Project'!P:P,"OGP",'List Project'!O:O,"Adi",'List Project'!S:S,"OGP")</f>
        <v>0</v>
      </c>
      <c r="AG60">
        <f>COUNTIFS('List Project'!C:C,"2026",'List Project'!P:P,"OGP",'List Project'!O:O,"Dwi",'List Project'!S:S,"OGP")</f>
        <v>0</v>
      </c>
      <c r="AH60">
        <f>COUNTIFS('List Project'!C:C,"2026",'List Project'!P:P,"OGP",'List Project'!O:O,"Duta",'List Project'!S:S,"OGP")</f>
        <v>0</v>
      </c>
      <c r="AI60">
        <f>COUNTIFS('List Project'!C:C,"2026",'List Project'!P:P,"OGP",'List Project'!O:O,"Gugum",'List Project'!S:S,"OGP")</f>
        <v>0</v>
      </c>
    </row>
    <row r="61" spans="31:36">
      <c r="AE61" t="s">
        <v>19</v>
      </c>
      <c r="AF61">
        <f>COUNTIFS('List Project'!C:C,"2026",'List Project'!P:P,"OGP",'List Project'!O:O,"Adi",'List Project'!T:T,"OGP")</f>
        <v>0</v>
      </c>
      <c r="AG61">
        <f>COUNTIFS('List Project'!C:C,"2026",'List Project'!P:P,"OGP",'List Project'!O:O,"Dwi",'List Project'!T:T,"OGP")</f>
        <v>0</v>
      </c>
      <c r="AH61">
        <f>COUNTIFS('List Project'!C:C,"2026",'List Project'!P:P,"OGP",'List Project'!O:O,"Duta",'List Project'!T:T,"OGP")</f>
        <v>0</v>
      </c>
      <c r="AI61">
        <f>COUNTIFS('List Project'!C:C,"2026",'List Project'!P:P,"OGP",'List Project'!O:O,"Gugum",'List Project'!T:T,"OGP")</f>
        <v>0</v>
      </c>
    </row>
  </sheetData>
  <mergeCells count="21">
    <mergeCell ref="G15:H16"/>
    <mergeCell ref="E19:F19"/>
    <mergeCell ref="C20:H21"/>
    <mergeCell ref="B2:C3"/>
    <mergeCell ref="D2:E3"/>
    <mergeCell ref="B4:C5"/>
    <mergeCell ref="D4:E5"/>
    <mergeCell ref="C15:D16"/>
    <mergeCell ref="E15:F16"/>
    <mergeCell ref="BR1:BS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CA0DE-5672-4BE6-89DF-B1D9F5B115D9}">
  <dimension ref="A1:AA68"/>
  <sheetViews>
    <sheetView workbookViewId="0">
      <pane xSplit="5" ySplit="1" topLeftCell="F59" activePane="bottomRight" state="frozen"/>
      <selection pane="bottomRight"/>
      <selection pane="bottomLeft"/>
      <selection pane="topRight"/>
    </sheetView>
  </sheetViews>
  <sheetFormatPr defaultRowHeight="15"/>
  <cols>
    <col min="1" max="1" width="3.7109375" bestFit="1" customWidth="1"/>
    <col min="2" max="2" width="8.140625" bestFit="1" customWidth="1"/>
    <col min="3" max="3" width="6.28515625" bestFit="1" customWidth="1"/>
    <col min="4" max="4" width="10.140625" bestFit="1" customWidth="1"/>
    <col min="5" max="5" width="97" bestFit="1" customWidth="1"/>
    <col min="6" max="6" width="12.85546875" customWidth="1"/>
    <col min="7" max="7" width="29.42578125" bestFit="1" customWidth="1"/>
    <col min="8" max="8" width="25.5703125" bestFit="1" customWidth="1"/>
    <col min="9" max="9" width="12.42578125" bestFit="1" customWidth="1"/>
    <col min="10" max="10" width="18.42578125" bestFit="1" customWidth="1"/>
    <col min="11" max="11" width="12" bestFit="1" customWidth="1"/>
    <col min="12" max="12" width="15.42578125" bestFit="1" customWidth="1"/>
    <col min="13" max="13" width="13.85546875" bestFit="1" customWidth="1"/>
    <col min="14" max="14" width="21.140625" bestFit="1" customWidth="1"/>
    <col min="15" max="15" width="20" bestFit="1" customWidth="1"/>
    <col min="16" max="16" width="11.140625" bestFit="1" customWidth="1"/>
    <col min="17" max="17" width="16.28515625" bestFit="1" customWidth="1"/>
    <col min="18" max="18" width="13" bestFit="1" customWidth="1"/>
    <col min="19" max="19" width="7.5703125" bestFit="1" customWidth="1"/>
    <col min="20" max="20" width="10.28515625" bestFit="1" customWidth="1"/>
    <col min="21" max="21" width="6.42578125" bestFit="1" customWidth="1"/>
    <col min="22" max="22" width="7" bestFit="1" customWidth="1"/>
    <col min="23" max="23" width="6.85546875" bestFit="1" customWidth="1"/>
  </cols>
  <sheetData>
    <row r="1" spans="1:27">
      <c r="A1" s="13" t="s">
        <v>946</v>
      </c>
      <c r="B1" s="13" t="s">
        <v>3</v>
      </c>
      <c r="C1" s="13" t="s">
        <v>2</v>
      </c>
      <c r="D1" s="13" t="s">
        <v>947</v>
      </c>
      <c r="E1" s="13" t="s">
        <v>3251</v>
      </c>
      <c r="F1" s="13" t="s">
        <v>962</v>
      </c>
      <c r="G1" s="13" t="s">
        <v>948</v>
      </c>
      <c r="H1" s="13" t="s">
        <v>949</v>
      </c>
      <c r="I1" s="13" t="s">
        <v>950</v>
      </c>
      <c r="J1" s="13" t="s">
        <v>951</v>
      </c>
      <c r="K1" s="13" t="s">
        <v>952</v>
      </c>
      <c r="L1" s="13" t="s">
        <v>953</v>
      </c>
      <c r="M1" s="13" t="s">
        <v>954</v>
      </c>
      <c r="N1" s="13" t="s">
        <v>955</v>
      </c>
      <c r="O1" s="13" t="s">
        <v>956</v>
      </c>
      <c r="P1" s="13" t="s">
        <v>957</v>
      </c>
      <c r="Q1" s="13" t="s">
        <v>958</v>
      </c>
      <c r="R1" s="13" t="s">
        <v>959</v>
      </c>
      <c r="S1" s="13" t="s">
        <v>960</v>
      </c>
      <c r="U1" s="13" t="s">
        <v>963</v>
      </c>
      <c r="V1" s="13" t="s">
        <v>964</v>
      </c>
      <c r="W1" s="13" t="s">
        <v>965</v>
      </c>
      <c r="X1" s="13"/>
      <c r="Y1" s="13"/>
      <c r="Z1" s="13"/>
      <c r="AA1" s="13"/>
    </row>
    <row r="2" spans="1:27">
      <c r="B2" t="s">
        <v>23</v>
      </c>
      <c r="C2">
        <v>2025</v>
      </c>
      <c r="D2" s="2" t="s">
        <v>2114</v>
      </c>
      <c r="E2" t="s">
        <v>2117</v>
      </c>
      <c r="F2" s="17">
        <v>1620000</v>
      </c>
      <c r="G2" t="s">
        <v>2118</v>
      </c>
      <c r="H2" t="s">
        <v>2119</v>
      </c>
      <c r="I2" t="s">
        <v>1180</v>
      </c>
      <c r="J2" t="s">
        <v>973</v>
      </c>
      <c r="K2" t="s">
        <v>968</v>
      </c>
      <c r="L2" s="70"/>
      <c r="M2">
        <f t="shared" ref="M2:M29" ca="1" si="0">L2-TODAY()</f>
        <v>-46258</v>
      </c>
      <c r="N2" t="s">
        <v>2120</v>
      </c>
      <c r="O2" s="64"/>
      <c r="S2" t="s">
        <v>1171</v>
      </c>
    </row>
    <row r="3" spans="1:27">
      <c r="B3" t="s">
        <v>23</v>
      </c>
      <c r="C3">
        <v>2025</v>
      </c>
      <c r="D3" s="2" t="s">
        <v>2114</v>
      </c>
      <c r="E3" t="s">
        <v>2117</v>
      </c>
      <c r="F3" s="17">
        <v>10659200</v>
      </c>
      <c r="G3" t="s">
        <v>2118</v>
      </c>
      <c r="H3" t="s">
        <v>2119</v>
      </c>
      <c r="I3" t="s">
        <v>1180</v>
      </c>
      <c r="J3" t="s">
        <v>973</v>
      </c>
      <c r="K3" t="s">
        <v>968</v>
      </c>
      <c r="L3" s="70"/>
      <c r="O3" s="64"/>
      <c r="S3" t="s">
        <v>1171</v>
      </c>
    </row>
    <row r="4" spans="1:27">
      <c r="B4" t="s">
        <v>23</v>
      </c>
      <c r="C4">
        <v>2025</v>
      </c>
      <c r="D4" s="2" t="s">
        <v>2124</v>
      </c>
      <c r="E4" s="44" t="s">
        <v>3252</v>
      </c>
      <c r="F4" s="17">
        <v>1500000</v>
      </c>
      <c r="G4" t="s">
        <v>2129</v>
      </c>
      <c r="H4" t="s">
        <v>2130</v>
      </c>
      <c r="I4" t="s">
        <v>1180</v>
      </c>
      <c r="J4" t="s">
        <v>48</v>
      </c>
      <c r="K4" t="s">
        <v>968</v>
      </c>
      <c r="L4" s="70"/>
      <c r="M4">
        <f t="shared" ca="1" si="0"/>
        <v>-46258</v>
      </c>
      <c r="O4" s="64"/>
      <c r="S4" t="s">
        <v>1171</v>
      </c>
    </row>
    <row r="5" spans="1:27">
      <c r="B5" t="s">
        <v>23</v>
      </c>
      <c r="C5">
        <v>2025</v>
      </c>
      <c r="D5" s="2" t="s">
        <v>2124</v>
      </c>
      <c r="E5" s="44" t="s">
        <v>3252</v>
      </c>
      <c r="F5" s="17">
        <v>1500000</v>
      </c>
      <c r="H5" t="s">
        <v>2130</v>
      </c>
      <c r="I5" t="s">
        <v>1180</v>
      </c>
      <c r="J5" t="s">
        <v>48</v>
      </c>
      <c r="K5" t="s">
        <v>968</v>
      </c>
      <c r="L5" s="70"/>
      <c r="M5">
        <f t="shared" ref="M5" ca="1" si="1">L5-TODAY()</f>
        <v>-46258</v>
      </c>
      <c r="O5" s="64"/>
      <c r="S5" t="s">
        <v>1171</v>
      </c>
    </row>
    <row r="6" spans="1:27">
      <c r="B6" t="s">
        <v>23</v>
      </c>
      <c r="C6">
        <v>2025</v>
      </c>
      <c r="D6" s="2" t="s">
        <v>2124</v>
      </c>
      <c r="E6" s="12" t="s">
        <v>2131</v>
      </c>
      <c r="F6" s="17">
        <v>1500000</v>
      </c>
      <c r="G6" s="12" t="s">
        <v>2132</v>
      </c>
      <c r="H6" s="12" t="s">
        <v>2133</v>
      </c>
      <c r="I6" t="s">
        <v>1180</v>
      </c>
      <c r="J6" t="s">
        <v>48</v>
      </c>
      <c r="K6" t="s">
        <v>968</v>
      </c>
      <c r="L6" s="70"/>
      <c r="M6">
        <f t="shared" ca="1" si="0"/>
        <v>-46258</v>
      </c>
      <c r="N6" s="43" t="s">
        <v>2134</v>
      </c>
      <c r="O6" s="64"/>
      <c r="S6" t="s">
        <v>1171</v>
      </c>
    </row>
    <row r="7" spans="1:27">
      <c r="B7" t="s">
        <v>23</v>
      </c>
      <c r="C7">
        <v>2025</v>
      </c>
      <c r="D7" s="2" t="s">
        <v>2143</v>
      </c>
      <c r="E7" s="12" t="s">
        <v>2152</v>
      </c>
      <c r="F7" s="83">
        <v>1500000</v>
      </c>
      <c r="G7" s="12" t="s">
        <v>2153</v>
      </c>
      <c r="H7" s="55" t="s">
        <v>2154</v>
      </c>
      <c r="I7" t="s">
        <v>1180</v>
      </c>
      <c r="J7" t="s">
        <v>48</v>
      </c>
      <c r="K7" t="s">
        <v>968</v>
      </c>
      <c r="L7" s="70"/>
      <c r="M7">
        <f t="shared" ca="1" si="0"/>
        <v>-46258</v>
      </c>
      <c r="O7" s="64"/>
      <c r="S7" t="s">
        <v>1171</v>
      </c>
    </row>
    <row r="8" spans="1:27">
      <c r="B8" t="s">
        <v>23</v>
      </c>
      <c r="C8">
        <v>2025</v>
      </c>
      <c r="D8" t="s">
        <v>2155</v>
      </c>
      <c r="E8" t="s">
        <v>2160</v>
      </c>
      <c r="F8" s="17">
        <v>1044000</v>
      </c>
      <c r="G8" t="s">
        <v>2161</v>
      </c>
      <c r="H8" t="s">
        <v>2162</v>
      </c>
      <c r="I8" t="s">
        <v>1180</v>
      </c>
      <c r="J8" t="s">
        <v>973</v>
      </c>
      <c r="K8" t="s">
        <v>968</v>
      </c>
      <c r="L8" s="70">
        <v>46204</v>
      </c>
      <c r="M8">
        <f t="shared" ca="1" si="0"/>
        <v>-54</v>
      </c>
      <c r="N8" t="s">
        <v>2163</v>
      </c>
      <c r="O8" s="64">
        <v>1913045979</v>
      </c>
      <c r="S8" t="s">
        <v>1171</v>
      </c>
    </row>
    <row r="9" spans="1:27">
      <c r="B9" t="s">
        <v>96</v>
      </c>
      <c r="C9">
        <v>2025</v>
      </c>
      <c r="D9" s="2">
        <v>45718</v>
      </c>
      <c r="E9" s="12" t="s">
        <v>2164</v>
      </c>
      <c r="F9" s="17">
        <v>2500000</v>
      </c>
      <c r="G9" s="12" t="s">
        <v>2165</v>
      </c>
      <c r="H9" s="65" t="s">
        <v>2166</v>
      </c>
      <c r="I9" t="s">
        <v>1180</v>
      </c>
      <c r="J9" t="s">
        <v>48</v>
      </c>
      <c r="K9" t="s">
        <v>968</v>
      </c>
      <c r="L9" s="70"/>
      <c r="M9">
        <f t="shared" ca="1" si="0"/>
        <v>-46258</v>
      </c>
      <c r="N9" t="s">
        <v>2167</v>
      </c>
      <c r="O9" s="73">
        <v>888307274424</v>
      </c>
      <c r="P9" s="25"/>
      <c r="Q9" s="25"/>
      <c r="S9" t="s">
        <v>1171</v>
      </c>
    </row>
    <row r="10" spans="1:27">
      <c r="B10" t="s">
        <v>96</v>
      </c>
      <c r="C10">
        <v>2025</v>
      </c>
      <c r="D10" s="2">
        <v>45749</v>
      </c>
      <c r="E10" s="12" t="s">
        <v>2168</v>
      </c>
      <c r="F10" s="17">
        <v>1500000</v>
      </c>
      <c r="G10" s="12" t="s">
        <v>2169</v>
      </c>
      <c r="H10" s="12" t="s">
        <v>2170</v>
      </c>
      <c r="I10" t="s">
        <v>1180</v>
      </c>
      <c r="J10" t="s">
        <v>48</v>
      </c>
      <c r="K10" t="s">
        <v>968</v>
      </c>
      <c r="L10" s="70"/>
      <c r="M10">
        <f t="shared" ca="1" si="0"/>
        <v>-46258</v>
      </c>
      <c r="N10">
        <v>7000174177</v>
      </c>
      <c r="O10" s="73" t="s">
        <v>2171</v>
      </c>
      <c r="P10" s="25"/>
      <c r="Q10" s="25"/>
      <c r="S10" t="s">
        <v>1171</v>
      </c>
    </row>
    <row r="11" spans="1:27">
      <c r="B11" t="s">
        <v>96</v>
      </c>
      <c r="C11">
        <v>2025</v>
      </c>
      <c r="D11" s="2">
        <v>45749</v>
      </c>
      <c r="E11" s="12" t="s">
        <v>2168</v>
      </c>
      <c r="F11" s="17">
        <v>1013000</v>
      </c>
      <c r="G11" s="12" t="s">
        <v>2169</v>
      </c>
      <c r="H11" s="12" t="s">
        <v>2170</v>
      </c>
      <c r="I11" t="s">
        <v>1180</v>
      </c>
      <c r="J11" t="s">
        <v>973</v>
      </c>
      <c r="K11" t="s">
        <v>968</v>
      </c>
      <c r="L11" s="70"/>
      <c r="M11">
        <f t="shared" ca="1" si="0"/>
        <v>-46258</v>
      </c>
      <c r="O11" s="73">
        <v>1770779433</v>
      </c>
      <c r="P11" s="25"/>
      <c r="Q11" s="25"/>
      <c r="S11" t="s">
        <v>1171</v>
      </c>
    </row>
    <row r="12" spans="1:27">
      <c r="B12" t="s">
        <v>96</v>
      </c>
      <c r="C12">
        <v>2025</v>
      </c>
      <c r="D12" s="2">
        <v>45749</v>
      </c>
      <c r="E12" s="12" t="s">
        <v>2172</v>
      </c>
      <c r="F12" s="17">
        <v>580000</v>
      </c>
      <c r="G12" s="61" t="s">
        <v>1336</v>
      </c>
      <c r="H12" s="12" t="s">
        <v>2173</v>
      </c>
      <c r="I12" t="s">
        <v>1180</v>
      </c>
      <c r="J12" t="s">
        <v>48</v>
      </c>
      <c r="K12" t="s">
        <v>968</v>
      </c>
      <c r="L12" s="70"/>
      <c r="M12">
        <f t="shared" ca="1" si="0"/>
        <v>-46258</v>
      </c>
      <c r="N12" t="s">
        <v>1338</v>
      </c>
      <c r="O12" s="73"/>
      <c r="P12" s="25"/>
      <c r="Q12" s="25"/>
      <c r="S12" t="s">
        <v>970</v>
      </c>
    </row>
    <row r="13" spans="1:27">
      <c r="B13" t="s">
        <v>96</v>
      </c>
      <c r="C13">
        <v>2025</v>
      </c>
      <c r="D13" s="2">
        <v>45779</v>
      </c>
      <c r="E13" t="s">
        <v>2179</v>
      </c>
      <c r="F13" s="17">
        <v>1451000</v>
      </c>
      <c r="G13" t="s">
        <v>2180</v>
      </c>
      <c r="H13" s="60" t="s">
        <v>2181</v>
      </c>
      <c r="I13" t="s">
        <v>1556</v>
      </c>
      <c r="J13" t="s">
        <v>973</v>
      </c>
      <c r="K13" t="s">
        <v>968</v>
      </c>
      <c r="L13" s="70"/>
      <c r="M13">
        <f t="shared" ca="1" si="0"/>
        <v>-46258</v>
      </c>
      <c r="N13" t="s">
        <v>2182</v>
      </c>
      <c r="O13" s="64"/>
      <c r="S13" t="s">
        <v>1171</v>
      </c>
    </row>
    <row r="14" spans="1:27">
      <c r="B14" t="s">
        <v>96</v>
      </c>
      <c r="C14">
        <v>2025</v>
      </c>
      <c r="D14" s="2">
        <v>45779</v>
      </c>
      <c r="E14" t="s">
        <v>2179</v>
      </c>
      <c r="F14" s="17">
        <v>636000</v>
      </c>
      <c r="G14" t="s">
        <v>2180</v>
      </c>
      <c r="H14" s="60" t="s">
        <v>2181</v>
      </c>
      <c r="I14" t="s">
        <v>1180</v>
      </c>
      <c r="J14" t="s">
        <v>973</v>
      </c>
      <c r="K14" t="s">
        <v>968</v>
      </c>
      <c r="L14" s="70"/>
      <c r="M14">
        <f t="shared" ca="1" si="0"/>
        <v>-46258</v>
      </c>
      <c r="N14" t="s">
        <v>2182</v>
      </c>
      <c r="O14" s="64"/>
      <c r="S14" t="s">
        <v>1171</v>
      </c>
    </row>
    <row r="15" spans="1:27">
      <c r="B15" t="s">
        <v>96</v>
      </c>
      <c r="C15">
        <v>2025</v>
      </c>
      <c r="D15" s="2">
        <v>45779</v>
      </c>
      <c r="E15" t="s">
        <v>2183</v>
      </c>
      <c r="F15" s="17">
        <v>636000</v>
      </c>
      <c r="G15" t="s">
        <v>2184</v>
      </c>
      <c r="H15" t="s">
        <v>2185</v>
      </c>
      <c r="I15" t="s">
        <v>1180</v>
      </c>
      <c r="J15" t="s">
        <v>973</v>
      </c>
      <c r="K15" t="s">
        <v>968</v>
      </c>
      <c r="L15" s="70"/>
      <c r="M15">
        <f t="shared" ca="1" si="0"/>
        <v>-46258</v>
      </c>
      <c r="N15" t="s">
        <v>2186</v>
      </c>
      <c r="O15" s="64"/>
      <c r="S15" t="s">
        <v>1171</v>
      </c>
    </row>
    <row r="16" spans="1:27">
      <c r="B16" t="s">
        <v>96</v>
      </c>
      <c r="C16">
        <v>2025</v>
      </c>
      <c r="D16" s="2">
        <v>45779</v>
      </c>
      <c r="E16" t="s">
        <v>2183</v>
      </c>
      <c r="F16" s="17">
        <v>2886000</v>
      </c>
      <c r="G16" t="s">
        <v>2184</v>
      </c>
      <c r="H16" t="s">
        <v>2185</v>
      </c>
      <c r="I16" t="s">
        <v>1180</v>
      </c>
      <c r="J16" t="s">
        <v>973</v>
      </c>
      <c r="K16" t="s">
        <v>968</v>
      </c>
      <c r="L16" s="70"/>
      <c r="M16">
        <f t="shared" ca="1" si="0"/>
        <v>-46258</v>
      </c>
      <c r="N16" t="s">
        <v>2187</v>
      </c>
      <c r="O16" s="64"/>
      <c r="S16" t="s">
        <v>1171</v>
      </c>
    </row>
    <row r="17" spans="2:21">
      <c r="B17" t="s">
        <v>96</v>
      </c>
      <c r="C17">
        <v>2025</v>
      </c>
      <c r="D17" s="2">
        <v>45932</v>
      </c>
      <c r="E17" s="12" t="s">
        <v>2195</v>
      </c>
      <c r="F17" s="17">
        <v>1024000</v>
      </c>
      <c r="G17" s="12" t="s">
        <v>2196</v>
      </c>
      <c r="H17" s="12" t="s">
        <v>2197</v>
      </c>
      <c r="I17" t="s">
        <v>1180</v>
      </c>
      <c r="J17" t="s">
        <v>973</v>
      </c>
      <c r="K17" t="s">
        <v>1119</v>
      </c>
      <c r="L17" s="70"/>
      <c r="M17">
        <f t="shared" ca="1" si="0"/>
        <v>-46258</v>
      </c>
      <c r="N17" t="s">
        <v>2182</v>
      </c>
      <c r="O17" s="64"/>
      <c r="S17" t="s">
        <v>1171</v>
      </c>
    </row>
    <row r="18" spans="2:21">
      <c r="B18" t="s">
        <v>96</v>
      </c>
      <c r="C18">
        <v>2025</v>
      </c>
      <c r="D18" s="2">
        <v>45932</v>
      </c>
      <c r="E18" s="12" t="s">
        <v>2198</v>
      </c>
      <c r="F18" s="17">
        <v>0</v>
      </c>
      <c r="G18" s="12" t="s">
        <v>2196</v>
      </c>
      <c r="H18" s="12" t="s">
        <v>2199</v>
      </c>
      <c r="I18" t="s">
        <v>1180</v>
      </c>
      <c r="J18" t="s">
        <v>48</v>
      </c>
      <c r="K18" t="s">
        <v>968</v>
      </c>
      <c r="L18" s="70"/>
      <c r="M18">
        <f t="shared" ca="1" si="0"/>
        <v>-46258</v>
      </c>
      <c r="N18" t="s">
        <v>2182</v>
      </c>
      <c r="O18" s="64"/>
      <c r="S18" t="s">
        <v>1171</v>
      </c>
    </row>
    <row r="19" spans="2:21">
      <c r="B19" t="s">
        <v>96</v>
      </c>
      <c r="C19">
        <v>2025</v>
      </c>
      <c r="D19" s="2">
        <v>45932</v>
      </c>
      <c r="E19" s="12" t="s">
        <v>2198</v>
      </c>
      <c r="F19" s="17">
        <v>3561000</v>
      </c>
      <c r="G19" s="12" t="s">
        <v>2196</v>
      </c>
      <c r="H19" s="12" t="s">
        <v>2199</v>
      </c>
      <c r="I19" t="s">
        <v>1180</v>
      </c>
      <c r="J19" t="s">
        <v>973</v>
      </c>
      <c r="K19" t="s">
        <v>968</v>
      </c>
      <c r="L19" s="70"/>
      <c r="M19">
        <f t="shared" ca="1" si="0"/>
        <v>-46258</v>
      </c>
      <c r="N19" t="s">
        <v>2182</v>
      </c>
      <c r="O19" s="64"/>
      <c r="S19" t="s">
        <v>1171</v>
      </c>
    </row>
    <row r="20" spans="2:21">
      <c r="B20" t="s">
        <v>96</v>
      </c>
      <c r="C20">
        <v>2025</v>
      </c>
      <c r="D20" s="2">
        <v>45963</v>
      </c>
      <c r="E20" s="12" t="s">
        <v>2200</v>
      </c>
      <c r="F20" s="17">
        <v>2500000</v>
      </c>
      <c r="G20" s="12" t="s">
        <v>2201</v>
      </c>
      <c r="H20" s="12" t="s">
        <v>2202</v>
      </c>
      <c r="I20" t="s">
        <v>1180</v>
      </c>
      <c r="J20" t="s">
        <v>48</v>
      </c>
      <c r="K20" t="s">
        <v>968</v>
      </c>
      <c r="L20" s="70"/>
      <c r="M20">
        <f t="shared" ca="1" si="0"/>
        <v>-46258</v>
      </c>
      <c r="N20" s="44" t="s">
        <v>2203</v>
      </c>
      <c r="O20" s="64"/>
      <c r="S20" t="s">
        <v>1171</v>
      </c>
    </row>
    <row r="21" spans="2:21">
      <c r="B21" t="s">
        <v>96</v>
      </c>
      <c r="C21">
        <v>2025</v>
      </c>
      <c r="D21" s="2">
        <v>45963</v>
      </c>
      <c r="E21" s="12" t="s">
        <v>2200</v>
      </c>
      <c r="F21" s="17">
        <v>5615000</v>
      </c>
      <c r="G21" s="12" t="s">
        <v>2201</v>
      </c>
      <c r="H21" s="12" t="s">
        <v>2202</v>
      </c>
      <c r="I21" t="s">
        <v>1180</v>
      </c>
      <c r="J21" t="s">
        <v>973</v>
      </c>
      <c r="K21" t="s">
        <v>968</v>
      </c>
      <c r="L21" s="70"/>
      <c r="M21">
        <f t="shared" ca="1" si="0"/>
        <v>-46258</v>
      </c>
      <c r="N21" s="76" t="s">
        <v>2204</v>
      </c>
      <c r="O21" s="64"/>
      <c r="S21" t="s">
        <v>1171</v>
      </c>
    </row>
    <row r="22" spans="2:21">
      <c r="B22" t="s">
        <v>96</v>
      </c>
      <c r="C22">
        <v>2025</v>
      </c>
      <c r="D22" t="s">
        <v>2221</v>
      </c>
      <c r="E22" s="12" t="s">
        <v>2226</v>
      </c>
      <c r="F22" s="40">
        <v>1258200</v>
      </c>
      <c r="G22" s="51" t="s">
        <v>500</v>
      </c>
      <c r="H22" s="12" t="s">
        <v>2227</v>
      </c>
      <c r="I22" t="s">
        <v>1556</v>
      </c>
      <c r="J22" t="s">
        <v>973</v>
      </c>
      <c r="K22" t="s">
        <v>968</v>
      </c>
      <c r="L22" s="70">
        <v>46022</v>
      </c>
      <c r="M22">
        <f t="shared" ca="1" si="0"/>
        <v>-236</v>
      </c>
      <c r="N22" t="s">
        <v>2229</v>
      </c>
      <c r="O22" s="64"/>
      <c r="S22" t="s">
        <v>1171</v>
      </c>
    </row>
    <row r="23" spans="2:21">
      <c r="B23" t="s">
        <v>96</v>
      </c>
      <c r="C23">
        <v>2025</v>
      </c>
      <c r="D23" t="s">
        <v>2221</v>
      </c>
      <c r="E23" s="12" t="s">
        <v>2237</v>
      </c>
      <c r="F23" s="17">
        <v>1500000</v>
      </c>
      <c r="G23" s="12" t="s">
        <v>2238</v>
      </c>
      <c r="H23" s="12" t="s">
        <v>2239</v>
      </c>
      <c r="I23" t="s">
        <v>1180</v>
      </c>
      <c r="J23" t="s">
        <v>48</v>
      </c>
      <c r="K23" t="s">
        <v>968</v>
      </c>
      <c r="L23" s="70"/>
      <c r="M23">
        <f t="shared" ca="1" si="0"/>
        <v>-46258</v>
      </c>
      <c r="O23" s="64"/>
      <c r="S23" t="s">
        <v>1171</v>
      </c>
    </row>
    <row r="24" spans="2:21">
      <c r="B24" t="s">
        <v>96</v>
      </c>
      <c r="C24">
        <v>2025</v>
      </c>
      <c r="D24" t="s">
        <v>2221</v>
      </c>
      <c r="E24" s="12" t="s">
        <v>2237</v>
      </c>
      <c r="F24" s="17">
        <v>729000</v>
      </c>
      <c r="G24" s="12" t="s">
        <v>2238</v>
      </c>
      <c r="H24" s="12" t="s">
        <v>2239</v>
      </c>
      <c r="I24" t="s">
        <v>1180</v>
      </c>
      <c r="J24" t="s">
        <v>973</v>
      </c>
      <c r="K24" t="s">
        <v>968</v>
      </c>
      <c r="L24" s="70"/>
      <c r="M24">
        <f t="shared" ca="1" si="0"/>
        <v>-46258</v>
      </c>
      <c r="O24" s="64"/>
      <c r="S24" t="s">
        <v>1171</v>
      </c>
    </row>
    <row r="25" spans="2:21">
      <c r="B25" t="s">
        <v>96</v>
      </c>
      <c r="C25">
        <v>2025</v>
      </c>
      <c r="D25" t="s">
        <v>2240</v>
      </c>
      <c r="E25" s="12" t="s">
        <v>2241</v>
      </c>
      <c r="F25" s="84">
        <v>6226000</v>
      </c>
      <c r="G25" s="51" t="s">
        <v>2242</v>
      </c>
      <c r="H25" s="12" t="s">
        <v>2243</v>
      </c>
      <c r="I25" t="s">
        <v>1556</v>
      </c>
      <c r="J25" t="s">
        <v>973</v>
      </c>
      <c r="K25" t="s">
        <v>968</v>
      </c>
      <c r="L25" s="70"/>
      <c r="M25">
        <f t="shared" ca="1" si="0"/>
        <v>-46258</v>
      </c>
      <c r="N25" t="s">
        <v>2244</v>
      </c>
      <c r="O25" s="64">
        <v>1713560507</v>
      </c>
      <c r="Q25" t="s">
        <v>2245</v>
      </c>
      <c r="S25" t="s">
        <v>1171</v>
      </c>
    </row>
    <row r="26" spans="2:21">
      <c r="B26" t="s">
        <v>96</v>
      </c>
      <c r="C26">
        <v>2025</v>
      </c>
      <c r="D26" s="2">
        <v>45749</v>
      </c>
      <c r="E26" s="44" t="s">
        <v>2257</v>
      </c>
      <c r="F26" s="17">
        <v>580000</v>
      </c>
      <c r="G26" t="s">
        <v>1336</v>
      </c>
      <c r="H26" t="s">
        <v>2173</v>
      </c>
      <c r="I26" t="s">
        <v>1180</v>
      </c>
      <c r="J26" t="s">
        <v>48</v>
      </c>
      <c r="K26" t="s">
        <v>968</v>
      </c>
      <c r="L26" s="70"/>
      <c r="M26">
        <f ca="1">L26-TODAY()</f>
        <v>-46258</v>
      </c>
      <c r="N26" t="s">
        <v>2258</v>
      </c>
      <c r="O26" s="64"/>
      <c r="S26" t="s">
        <v>1171</v>
      </c>
    </row>
    <row r="27" spans="2:21">
      <c r="B27" t="s">
        <v>144</v>
      </c>
      <c r="C27">
        <v>2025</v>
      </c>
      <c r="D27" s="2">
        <v>45660</v>
      </c>
      <c r="E27" s="12" t="s">
        <v>2259</v>
      </c>
      <c r="F27" s="17">
        <v>2500000</v>
      </c>
      <c r="G27" s="12" t="s">
        <v>2260</v>
      </c>
      <c r="H27" s="12" t="s">
        <v>2261</v>
      </c>
      <c r="I27" t="s">
        <v>1180</v>
      </c>
      <c r="J27" t="s">
        <v>48</v>
      </c>
      <c r="K27" t="s">
        <v>968</v>
      </c>
      <c r="L27" s="70"/>
      <c r="M27">
        <f t="shared" ca="1" si="0"/>
        <v>-46258</v>
      </c>
      <c r="N27" t="s">
        <v>1213</v>
      </c>
      <c r="O27" s="73"/>
      <c r="P27" s="25"/>
      <c r="Q27" s="25"/>
      <c r="S27" t="s">
        <v>1171</v>
      </c>
      <c r="U27" s="67" t="s">
        <v>2262</v>
      </c>
    </row>
    <row r="28" spans="2:21">
      <c r="B28" t="s">
        <v>144</v>
      </c>
      <c r="C28">
        <v>2025</v>
      </c>
      <c r="D28" s="2">
        <v>45841</v>
      </c>
      <c r="E28" s="74" t="s">
        <v>2275</v>
      </c>
      <c r="F28" s="17">
        <v>2500000</v>
      </c>
      <c r="G28" s="12" t="s">
        <v>2276</v>
      </c>
      <c r="H28" s="12" t="s">
        <v>2277</v>
      </c>
      <c r="I28" t="s">
        <v>1180</v>
      </c>
      <c r="J28" t="s">
        <v>48</v>
      </c>
      <c r="K28" t="s">
        <v>968</v>
      </c>
      <c r="L28" s="70"/>
      <c r="M28">
        <f t="shared" ca="1" si="0"/>
        <v>-46258</v>
      </c>
      <c r="N28" t="s">
        <v>2278</v>
      </c>
      <c r="O28" s="64"/>
      <c r="S28" t="s">
        <v>1171</v>
      </c>
    </row>
    <row r="29" spans="2:21">
      <c r="B29" t="s">
        <v>144</v>
      </c>
      <c r="C29">
        <v>2025</v>
      </c>
      <c r="D29" s="2">
        <v>45841</v>
      </c>
      <c r="E29" s="74" t="s">
        <v>2275</v>
      </c>
      <c r="F29" s="75">
        <v>992000</v>
      </c>
      <c r="G29" s="12" t="s">
        <v>2276</v>
      </c>
      <c r="H29" s="12" t="s">
        <v>2277</v>
      </c>
      <c r="I29" t="s">
        <v>1180</v>
      </c>
      <c r="J29" t="s">
        <v>973</v>
      </c>
      <c r="K29" t="s">
        <v>968</v>
      </c>
      <c r="L29" s="70"/>
      <c r="M29">
        <f t="shared" ca="1" si="0"/>
        <v>-46258</v>
      </c>
      <c r="N29" t="s">
        <v>2279</v>
      </c>
      <c r="O29" s="64"/>
      <c r="S29" t="s">
        <v>1171</v>
      </c>
    </row>
    <row r="30" spans="2:21">
      <c r="B30" t="s">
        <v>144</v>
      </c>
      <c r="C30">
        <v>2025</v>
      </c>
      <c r="D30" s="2">
        <v>45964</v>
      </c>
      <c r="E30" t="s">
        <v>2301</v>
      </c>
      <c r="F30" s="17">
        <v>1160000</v>
      </c>
      <c r="G30" t="s">
        <v>2302</v>
      </c>
      <c r="I30" t="s">
        <v>1180</v>
      </c>
      <c r="J30" t="s">
        <v>973</v>
      </c>
      <c r="K30" t="s">
        <v>968</v>
      </c>
      <c r="O30" s="85" t="s">
        <v>3253</v>
      </c>
      <c r="S30" t="s">
        <v>1171</v>
      </c>
    </row>
    <row r="31" spans="2:21">
      <c r="B31" t="s">
        <v>144</v>
      </c>
      <c r="C31">
        <v>2025</v>
      </c>
      <c r="D31" s="2">
        <v>45964</v>
      </c>
      <c r="E31" t="s">
        <v>2304</v>
      </c>
      <c r="F31" s="17">
        <v>1539200</v>
      </c>
      <c r="G31" t="s">
        <v>2302</v>
      </c>
      <c r="I31" t="s">
        <v>1180</v>
      </c>
      <c r="J31" t="s">
        <v>973</v>
      </c>
      <c r="K31" t="s">
        <v>968</v>
      </c>
      <c r="O31" s="86">
        <v>1707402722</v>
      </c>
      <c r="S31" t="s">
        <v>1171</v>
      </c>
    </row>
    <row r="32" spans="2:21">
      <c r="B32" t="s">
        <v>144</v>
      </c>
      <c r="C32">
        <v>2025</v>
      </c>
      <c r="D32" s="2">
        <v>45964</v>
      </c>
      <c r="E32" t="s">
        <v>2305</v>
      </c>
      <c r="F32" s="17">
        <v>1242000</v>
      </c>
      <c r="G32" t="s">
        <v>2302</v>
      </c>
      <c r="I32" t="s">
        <v>1180</v>
      </c>
      <c r="J32" t="s">
        <v>973</v>
      </c>
      <c r="K32" t="s">
        <v>968</v>
      </c>
      <c r="O32" s="86">
        <v>1713902038</v>
      </c>
      <c r="S32" t="s">
        <v>1171</v>
      </c>
    </row>
    <row r="33" spans="2:19">
      <c r="B33" t="s">
        <v>144</v>
      </c>
      <c r="C33">
        <v>2025</v>
      </c>
      <c r="D33" s="2">
        <v>45964</v>
      </c>
      <c r="E33" t="s">
        <v>2306</v>
      </c>
      <c r="F33">
        <v>910800</v>
      </c>
      <c r="G33" t="s">
        <v>2302</v>
      </c>
      <c r="I33" t="s">
        <v>1180</v>
      </c>
      <c r="J33" t="s">
        <v>973</v>
      </c>
      <c r="K33" t="s">
        <v>968</v>
      </c>
      <c r="O33" s="86">
        <v>1748386853</v>
      </c>
      <c r="P33" s="86">
        <v>1748449677</v>
      </c>
      <c r="S33" t="s">
        <v>1171</v>
      </c>
    </row>
    <row r="34" spans="2:19">
      <c r="B34" t="s">
        <v>144</v>
      </c>
      <c r="C34">
        <v>2025</v>
      </c>
      <c r="D34" s="2">
        <v>45964</v>
      </c>
      <c r="E34" t="s">
        <v>2307</v>
      </c>
      <c r="F34">
        <v>729000</v>
      </c>
      <c r="G34" t="s">
        <v>2302</v>
      </c>
      <c r="I34" t="s">
        <v>1180</v>
      </c>
      <c r="J34" t="s">
        <v>973</v>
      </c>
      <c r="K34" t="s">
        <v>968</v>
      </c>
      <c r="O34" s="86">
        <v>1724708157</v>
      </c>
      <c r="P34" s="86">
        <v>1725018653</v>
      </c>
      <c r="S34" t="s">
        <v>1171</v>
      </c>
    </row>
    <row r="35" spans="2:19">
      <c r="B35" t="s">
        <v>144</v>
      </c>
      <c r="C35">
        <v>2025</v>
      </c>
      <c r="D35" s="2">
        <v>45964</v>
      </c>
      <c r="E35" t="s">
        <v>2308</v>
      </c>
      <c r="F35">
        <v>2196000</v>
      </c>
      <c r="G35" t="s">
        <v>2302</v>
      </c>
      <c r="I35" t="s">
        <v>1180</v>
      </c>
      <c r="J35" t="s">
        <v>973</v>
      </c>
      <c r="K35" t="s">
        <v>968</v>
      </c>
      <c r="O35" s="86">
        <v>1724738004</v>
      </c>
      <c r="P35" s="86">
        <v>1724778748</v>
      </c>
      <c r="S35" t="s">
        <v>1171</v>
      </c>
    </row>
    <row r="36" spans="2:19">
      <c r="B36" t="s">
        <v>144</v>
      </c>
      <c r="C36">
        <v>2025</v>
      </c>
      <c r="D36" s="2">
        <v>45964</v>
      </c>
      <c r="E36" t="s">
        <v>2309</v>
      </c>
      <c r="F36" s="17">
        <v>603850</v>
      </c>
      <c r="G36" t="s">
        <v>2302</v>
      </c>
      <c r="I36" t="s">
        <v>1180</v>
      </c>
      <c r="J36" t="s">
        <v>973</v>
      </c>
      <c r="K36" t="s">
        <v>968</v>
      </c>
      <c r="O36" s="86">
        <v>1722610158</v>
      </c>
      <c r="S36" t="s">
        <v>1171</v>
      </c>
    </row>
    <row r="37" spans="2:19">
      <c r="B37" t="s">
        <v>144</v>
      </c>
      <c r="C37">
        <v>2025</v>
      </c>
      <c r="D37" s="2">
        <v>45964</v>
      </c>
      <c r="E37" t="s">
        <v>2310</v>
      </c>
      <c r="F37" s="17">
        <v>2315300</v>
      </c>
      <c r="G37" t="s">
        <v>2302</v>
      </c>
      <c r="I37" t="s">
        <v>1180</v>
      </c>
      <c r="J37" t="s">
        <v>973</v>
      </c>
      <c r="K37" t="s">
        <v>968</v>
      </c>
      <c r="O37" s="86">
        <v>1725161382</v>
      </c>
      <c r="S37" t="s">
        <v>1171</v>
      </c>
    </row>
    <row r="38" spans="2:19">
      <c r="B38" t="s">
        <v>144</v>
      </c>
      <c r="C38">
        <v>2025</v>
      </c>
      <c r="D38" s="2">
        <v>45964</v>
      </c>
      <c r="E38" t="s">
        <v>2311</v>
      </c>
      <c r="F38" s="17">
        <v>1372800</v>
      </c>
      <c r="G38" t="s">
        <v>2302</v>
      </c>
      <c r="I38" t="s">
        <v>1180</v>
      </c>
      <c r="J38" t="s">
        <v>973</v>
      </c>
      <c r="K38" t="s">
        <v>968</v>
      </c>
      <c r="O38" s="86">
        <v>1772942952</v>
      </c>
      <c r="S38" t="s">
        <v>1171</v>
      </c>
    </row>
    <row r="39" spans="2:19">
      <c r="B39" t="s">
        <v>144</v>
      </c>
      <c r="C39">
        <v>2025</v>
      </c>
      <c r="D39" s="2">
        <v>45964</v>
      </c>
      <c r="E39" t="s">
        <v>2312</v>
      </c>
      <c r="F39" s="17">
        <v>9981375</v>
      </c>
      <c r="G39" t="s">
        <v>2302</v>
      </c>
      <c r="I39" t="s">
        <v>1180</v>
      </c>
      <c r="J39" t="s">
        <v>973</v>
      </c>
      <c r="K39" t="s">
        <v>968</v>
      </c>
      <c r="O39" s="86">
        <v>888368709469</v>
      </c>
      <c r="S39" t="s">
        <v>1171</v>
      </c>
    </row>
    <row r="40" spans="2:19">
      <c r="B40" t="s">
        <v>144</v>
      </c>
      <c r="C40">
        <v>2025</v>
      </c>
      <c r="D40" s="2">
        <v>45964</v>
      </c>
      <c r="E40" t="s">
        <v>3254</v>
      </c>
      <c r="F40" s="17">
        <v>9981375</v>
      </c>
      <c r="G40" t="s">
        <v>2302</v>
      </c>
      <c r="I40" t="s">
        <v>1180</v>
      </c>
      <c r="J40" t="s">
        <v>973</v>
      </c>
      <c r="K40" t="s">
        <v>968</v>
      </c>
      <c r="O40" s="86">
        <v>888368709702</v>
      </c>
      <c r="S40" t="s">
        <v>1171</v>
      </c>
    </row>
    <row r="41" spans="2:19">
      <c r="B41" t="s">
        <v>144</v>
      </c>
      <c r="C41">
        <v>2025</v>
      </c>
      <c r="D41" s="2">
        <v>45964</v>
      </c>
      <c r="E41" t="s">
        <v>3255</v>
      </c>
      <c r="F41" s="17">
        <v>9240375</v>
      </c>
      <c r="G41" t="s">
        <v>2302</v>
      </c>
      <c r="I41" t="s">
        <v>1180</v>
      </c>
      <c r="J41" t="s">
        <v>973</v>
      </c>
      <c r="K41" t="s">
        <v>968</v>
      </c>
      <c r="O41" s="86">
        <v>888368709850</v>
      </c>
      <c r="S41" t="s">
        <v>1171</v>
      </c>
    </row>
    <row r="42" spans="2:19">
      <c r="B42" t="s">
        <v>144</v>
      </c>
      <c r="C42">
        <v>2025</v>
      </c>
      <c r="D42" s="2">
        <v>45964</v>
      </c>
      <c r="E42" s="44" t="s">
        <v>2313</v>
      </c>
      <c r="F42" s="17">
        <v>24272000</v>
      </c>
      <c r="G42" t="s">
        <v>2302</v>
      </c>
      <c r="I42" t="s">
        <v>1180</v>
      </c>
      <c r="J42" t="s">
        <v>973</v>
      </c>
      <c r="K42" t="s">
        <v>968</v>
      </c>
      <c r="O42" s="86">
        <v>1210073302</v>
      </c>
      <c r="S42" t="s">
        <v>1171</v>
      </c>
    </row>
    <row r="43" spans="2:19">
      <c r="B43" t="s">
        <v>144</v>
      </c>
      <c r="C43">
        <v>2025</v>
      </c>
      <c r="D43" s="2">
        <v>45964</v>
      </c>
      <c r="E43" t="s">
        <v>2314</v>
      </c>
      <c r="F43" s="17">
        <v>2080000</v>
      </c>
      <c r="G43" t="s">
        <v>2302</v>
      </c>
      <c r="I43" t="s">
        <v>1180</v>
      </c>
      <c r="J43" t="s">
        <v>973</v>
      </c>
      <c r="K43" t="s">
        <v>1119</v>
      </c>
      <c r="O43" s="86" t="s">
        <v>3256</v>
      </c>
      <c r="S43" t="s">
        <v>1171</v>
      </c>
    </row>
    <row r="44" spans="2:19">
      <c r="B44" t="s">
        <v>144</v>
      </c>
      <c r="C44">
        <v>2025</v>
      </c>
      <c r="D44" s="2">
        <v>45964</v>
      </c>
      <c r="E44" t="s">
        <v>2315</v>
      </c>
      <c r="F44" s="17">
        <v>2555000</v>
      </c>
      <c r="G44" t="s">
        <v>2302</v>
      </c>
      <c r="I44" t="s">
        <v>1180</v>
      </c>
      <c r="J44" t="s">
        <v>973</v>
      </c>
      <c r="K44" t="s">
        <v>1119</v>
      </c>
      <c r="O44" s="86">
        <v>1253429282</v>
      </c>
      <c r="S44" t="s">
        <v>1171</v>
      </c>
    </row>
    <row r="45" spans="2:19">
      <c r="B45" t="s">
        <v>144</v>
      </c>
      <c r="C45">
        <v>2025</v>
      </c>
      <c r="D45" s="2">
        <v>45964</v>
      </c>
      <c r="E45" t="s">
        <v>2316</v>
      </c>
      <c r="F45" s="17">
        <v>2310000</v>
      </c>
      <c r="G45" t="s">
        <v>2302</v>
      </c>
      <c r="I45" t="s">
        <v>1180</v>
      </c>
      <c r="J45" t="s">
        <v>973</v>
      </c>
      <c r="K45" t="s">
        <v>1119</v>
      </c>
      <c r="O45" s="86">
        <v>1622497015</v>
      </c>
      <c r="S45" t="s">
        <v>1171</v>
      </c>
    </row>
    <row r="46" spans="2:19">
      <c r="B46" t="s">
        <v>144</v>
      </c>
      <c r="C46">
        <v>2025</v>
      </c>
      <c r="D46" s="2">
        <v>45964</v>
      </c>
      <c r="E46" t="s">
        <v>2317</v>
      </c>
      <c r="F46" s="17">
        <v>10934000</v>
      </c>
      <c r="G46" t="s">
        <v>2302</v>
      </c>
      <c r="I46" t="s">
        <v>1180</v>
      </c>
      <c r="J46" t="s">
        <v>973</v>
      </c>
      <c r="K46" t="s">
        <v>1119</v>
      </c>
      <c r="O46" s="86">
        <v>1613792512</v>
      </c>
      <c r="S46" t="s">
        <v>1171</v>
      </c>
    </row>
    <row r="47" spans="2:19">
      <c r="B47" t="s">
        <v>144</v>
      </c>
      <c r="C47">
        <v>2025</v>
      </c>
      <c r="D47" s="2">
        <v>45964</v>
      </c>
      <c r="E47" t="s">
        <v>2318</v>
      </c>
      <c r="F47" s="17">
        <v>14140000</v>
      </c>
      <c r="G47" t="s">
        <v>2302</v>
      </c>
      <c r="I47" t="s">
        <v>1180</v>
      </c>
      <c r="J47" t="s">
        <v>973</v>
      </c>
      <c r="K47" t="s">
        <v>1119</v>
      </c>
      <c r="O47" s="86">
        <v>1703019556</v>
      </c>
      <c r="S47" t="s">
        <v>1171</v>
      </c>
    </row>
    <row r="48" spans="2:19">
      <c r="B48" t="s">
        <v>144</v>
      </c>
      <c r="C48">
        <v>2025</v>
      </c>
      <c r="D48" s="2">
        <v>45964</v>
      </c>
      <c r="E48" t="s">
        <v>2319</v>
      </c>
      <c r="F48" s="17">
        <v>19880000</v>
      </c>
      <c r="G48" t="s">
        <v>2302</v>
      </c>
      <c r="I48" t="s">
        <v>1180</v>
      </c>
      <c r="J48" t="s">
        <v>973</v>
      </c>
      <c r="K48" t="s">
        <v>1119</v>
      </c>
      <c r="O48" s="86">
        <v>1702854696</v>
      </c>
      <c r="S48" t="s">
        <v>1171</v>
      </c>
    </row>
    <row r="49" spans="2:19">
      <c r="B49" t="s">
        <v>144</v>
      </c>
      <c r="C49">
        <v>2025</v>
      </c>
      <c r="D49" s="2">
        <v>45964</v>
      </c>
      <c r="E49" t="s">
        <v>2320</v>
      </c>
      <c r="F49" s="87">
        <v>2310000</v>
      </c>
      <c r="G49" t="s">
        <v>2302</v>
      </c>
      <c r="I49" t="s">
        <v>1180</v>
      </c>
      <c r="J49" t="s">
        <v>973</v>
      </c>
      <c r="K49" t="s">
        <v>1119</v>
      </c>
      <c r="O49" s="86">
        <v>1262560623</v>
      </c>
      <c r="S49" t="s">
        <v>1171</v>
      </c>
    </row>
    <row r="50" spans="2:19">
      <c r="B50" t="s">
        <v>144</v>
      </c>
      <c r="C50">
        <v>2025</v>
      </c>
      <c r="D50" s="2">
        <v>45964</v>
      </c>
      <c r="E50" t="s">
        <v>2321</v>
      </c>
      <c r="F50" s="17">
        <v>2310000</v>
      </c>
      <c r="G50" t="s">
        <v>2302</v>
      </c>
      <c r="I50" t="s">
        <v>1180</v>
      </c>
      <c r="J50" t="s">
        <v>973</v>
      </c>
      <c r="K50" t="s">
        <v>1119</v>
      </c>
      <c r="O50" s="86">
        <v>1537049624</v>
      </c>
      <c r="S50" t="s">
        <v>1171</v>
      </c>
    </row>
    <row r="51" spans="2:19">
      <c r="B51" t="s">
        <v>144</v>
      </c>
      <c r="C51">
        <v>2025</v>
      </c>
      <c r="D51" s="2">
        <v>45964</v>
      </c>
      <c r="E51" t="s">
        <v>2322</v>
      </c>
      <c r="F51" s="87">
        <v>25450000</v>
      </c>
      <c r="G51" t="s">
        <v>2302</v>
      </c>
      <c r="I51" t="s">
        <v>1180</v>
      </c>
      <c r="J51" t="s">
        <v>973</v>
      </c>
      <c r="K51" t="s">
        <v>1119</v>
      </c>
      <c r="O51" s="86">
        <v>1704483641</v>
      </c>
      <c r="S51" t="s">
        <v>1171</v>
      </c>
    </row>
    <row r="52" spans="2:19">
      <c r="B52" t="s">
        <v>144</v>
      </c>
      <c r="C52">
        <v>2025</v>
      </c>
      <c r="D52" s="2">
        <v>45964</v>
      </c>
      <c r="E52" t="s">
        <v>2323</v>
      </c>
      <c r="F52" s="17">
        <v>2300000</v>
      </c>
      <c r="G52" t="s">
        <v>2302</v>
      </c>
      <c r="I52" t="s">
        <v>1180</v>
      </c>
      <c r="J52" t="s">
        <v>973</v>
      </c>
      <c r="K52" t="s">
        <v>1119</v>
      </c>
      <c r="O52" s="86">
        <v>1250806451</v>
      </c>
      <c r="S52" t="s">
        <v>1171</v>
      </c>
    </row>
    <row r="53" spans="2:19">
      <c r="B53" t="s">
        <v>144</v>
      </c>
      <c r="C53">
        <v>2025</v>
      </c>
      <c r="D53" s="2">
        <v>45964</v>
      </c>
      <c r="E53" t="s">
        <v>2324</v>
      </c>
      <c r="F53" s="17">
        <v>745000</v>
      </c>
      <c r="G53" t="s">
        <v>2302</v>
      </c>
      <c r="I53" t="s">
        <v>1180</v>
      </c>
      <c r="J53" t="s">
        <v>973</v>
      </c>
      <c r="K53" t="s">
        <v>1119</v>
      </c>
      <c r="O53" s="86">
        <v>121202242838</v>
      </c>
      <c r="S53" t="s">
        <v>1171</v>
      </c>
    </row>
    <row r="54" spans="2:19">
      <c r="B54" t="s">
        <v>144</v>
      </c>
      <c r="C54">
        <v>2025</v>
      </c>
      <c r="D54" s="2">
        <v>45964</v>
      </c>
      <c r="E54" t="s">
        <v>2325</v>
      </c>
      <c r="F54" s="87">
        <v>510000</v>
      </c>
      <c r="G54" t="s">
        <v>2302</v>
      </c>
      <c r="I54" t="s">
        <v>1180</v>
      </c>
      <c r="J54" t="s">
        <v>973</v>
      </c>
      <c r="K54" t="s">
        <v>1119</v>
      </c>
      <c r="O54" s="86">
        <v>143422113416</v>
      </c>
      <c r="S54" t="s">
        <v>1171</v>
      </c>
    </row>
    <row r="55" spans="2:19">
      <c r="B55" t="s">
        <v>144</v>
      </c>
      <c r="C55">
        <v>2025</v>
      </c>
      <c r="D55" s="2">
        <v>45964</v>
      </c>
      <c r="E55" t="s">
        <v>2326</v>
      </c>
      <c r="F55" s="17">
        <v>310000</v>
      </c>
      <c r="G55" t="s">
        <v>2302</v>
      </c>
      <c r="I55" t="s">
        <v>1180</v>
      </c>
      <c r="J55" t="s">
        <v>973</v>
      </c>
      <c r="K55" t="s">
        <v>1119</v>
      </c>
      <c r="O55" s="86">
        <v>152306103296</v>
      </c>
      <c r="S55" t="s">
        <v>1171</v>
      </c>
    </row>
    <row r="57" spans="2:19">
      <c r="E57" s="88" t="s">
        <v>3257</v>
      </c>
      <c r="F57" s="17">
        <f ca="1">SUM(F2:F60)</f>
        <v>210888475</v>
      </c>
    </row>
    <row r="63" spans="2:19">
      <c r="B63" t="s">
        <v>183</v>
      </c>
      <c r="C63">
        <v>2025</v>
      </c>
      <c r="D63" s="2" t="s">
        <v>2353</v>
      </c>
      <c r="E63" s="12" t="s">
        <v>3258</v>
      </c>
      <c r="F63" s="17">
        <v>825000</v>
      </c>
      <c r="G63" s="12" t="s">
        <v>2355</v>
      </c>
      <c r="H63" s="12" t="s">
        <v>2356</v>
      </c>
      <c r="I63" t="s">
        <v>1180</v>
      </c>
      <c r="J63" t="s">
        <v>973</v>
      </c>
      <c r="K63" t="s">
        <v>1119</v>
      </c>
      <c r="L63" s="70"/>
      <c r="O63" s="64"/>
      <c r="S63" t="s">
        <v>1171</v>
      </c>
    </row>
    <row r="64" spans="2:19">
      <c r="B64" t="s">
        <v>183</v>
      </c>
      <c r="C64">
        <v>2025</v>
      </c>
      <c r="D64" s="2" t="s">
        <v>2353</v>
      </c>
      <c r="E64" s="12" t="s">
        <v>3258</v>
      </c>
      <c r="F64" s="17">
        <v>575000</v>
      </c>
      <c r="G64" s="12" t="s">
        <v>2355</v>
      </c>
      <c r="H64" s="12" t="s">
        <v>2356</v>
      </c>
      <c r="I64" t="s">
        <v>1180</v>
      </c>
      <c r="J64" t="s">
        <v>973</v>
      </c>
      <c r="K64" t="s">
        <v>1119</v>
      </c>
      <c r="L64" s="70"/>
      <c r="O64" s="64"/>
      <c r="S64" t="s">
        <v>1171</v>
      </c>
    </row>
    <row r="65" spans="2:19" ht="24.75">
      <c r="B65" t="s">
        <v>183</v>
      </c>
      <c r="C65">
        <v>2025</v>
      </c>
      <c r="D65" s="2" t="s">
        <v>2353</v>
      </c>
      <c r="E65" s="12" t="s">
        <v>2357</v>
      </c>
      <c r="F65" s="17">
        <v>4540000</v>
      </c>
      <c r="G65" s="12" t="s">
        <v>2355</v>
      </c>
      <c r="H65" s="55" t="s">
        <v>3259</v>
      </c>
      <c r="I65" t="s">
        <v>1180</v>
      </c>
      <c r="J65" t="s">
        <v>973</v>
      </c>
      <c r="K65" t="s">
        <v>968</v>
      </c>
      <c r="L65" s="70"/>
      <c r="O65" s="64"/>
      <c r="S65" t="s">
        <v>1171</v>
      </c>
    </row>
    <row r="66" spans="2:19">
      <c r="B66" t="s">
        <v>183</v>
      </c>
      <c r="C66">
        <v>2025</v>
      </c>
      <c r="D66" s="2" t="s">
        <v>2353</v>
      </c>
      <c r="E66" s="12" t="s">
        <v>3260</v>
      </c>
      <c r="F66" s="17">
        <v>1500000</v>
      </c>
      <c r="G66" s="12" t="s">
        <v>2361</v>
      </c>
      <c r="H66" s="12" t="s">
        <v>2362</v>
      </c>
      <c r="I66" t="s">
        <v>1180</v>
      </c>
      <c r="J66" t="s">
        <v>48</v>
      </c>
      <c r="K66" t="s">
        <v>968</v>
      </c>
      <c r="L66" s="70"/>
      <c r="O66" s="64"/>
      <c r="S66" t="s">
        <v>1171</v>
      </c>
    </row>
    <row r="67" spans="2:19">
      <c r="B67" t="s">
        <v>183</v>
      </c>
      <c r="C67">
        <v>2025</v>
      </c>
      <c r="D67" s="2" t="s">
        <v>2353</v>
      </c>
      <c r="E67" s="12" t="s">
        <v>2360</v>
      </c>
      <c r="F67" s="17">
        <v>1160000</v>
      </c>
      <c r="G67" s="12" t="s">
        <v>2361</v>
      </c>
      <c r="H67" s="12" t="s">
        <v>2362</v>
      </c>
      <c r="I67" t="s">
        <v>1180</v>
      </c>
      <c r="J67" t="s">
        <v>973</v>
      </c>
      <c r="K67" t="s">
        <v>968</v>
      </c>
      <c r="L67" s="70"/>
      <c r="O67" s="64"/>
      <c r="S67" t="s">
        <v>1171</v>
      </c>
    </row>
    <row r="68" spans="2:19">
      <c r="B68" t="s">
        <v>183</v>
      </c>
      <c r="C68">
        <v>2025</v>
      </c>
      <c r="D68" s="2" t="s">
        <v>2353</v>
      </c>
      <c r="E68" s="12" t="s">
        <v>2360</v>
      </c>
      <c r="G68" s="12" t="s">
        <v>2361</v>
      </c>
      <c r="H68" t="s">
        <v>2362</v>
      </c>
      <c r="I68" t="s">
        <v>1180</v>
      </c>
      <c r="J68" t="s">
        <v>973</v>
      </c>
      <c r="K68" t="s">
        <v>968</v>
      </c>
      <c r="L68" s="70"/>
      <c r="O68" s="64"/>
      <c r="S68" t="s">
        <v>1171</v>
      </c>
    </row>
  </sheetData>
  <conditionalFormatting sqref="M2:M29">
    <cfRule type="cellIs" dxfId="2" priority="1" operator="lessThan">
      <formula>1</formula>
    </cfRule>
    <cfRule type="cellIs" dxfId="1" priority="2" operator="between">
      <formula>1</formula>
      <formula>45</formula>
    </cfRule>
    <cfRule type="cellIs" dxfId="0" priority="3" operator="between">
      <formula>46</formula>
      <formula>2000</formula>
    </cfRule>
  </conditionalFormatting>
  <dataValidations count="7">
    <dataValidation type="list" allowBlank="1" showInputMessage="1" showErrorMessage="1" sqref="L28:L29 K26:L26 K63:M68 K27:K55 K2:K25" xr:uid="{41686C4C-728E-40CB-8C31-D66B8FEA3FF9}">
      <formula1>"Telkom DES,Telkom DWS"</formula1>
    </dataValidation>
    <dataValidation allowBlank="1" showInputMessage="1" showErrorMessage="1" sqref="M28:M29 L2:M27" xr:uid="{E2869131-625F-42E9-9EDE-A77261B435E1}"/>
    <dataValidation type="list" allowBlank="1" showInputMessage="1" showErrorMessage="1" sqref="S63:S68 S2:S55" xr:uid="{404EE7A6-9A62-4B4E-91DA-E4FA291382FE}">
      <formula1>"Open,Close"</formula1>
    </dataValidation>
    <dataValidation type="list" allowBlank="1" showInputMessage="1" showErrorMessage="1" sqref="J63:J68 J2:J55" xr:uid="{E81DE854-3882-4097-8937-83833CF90050}">
      <formula1>"Connectivity,Nomor Akses,IPPBX,Colocation"</formula1>
    </dataValidation>
    <dataValidation type="list" allowBlank="1" showInputMessage="1" showErrorMessage="1" sqref="I63:I68 I2:I55" xr:uid="{E50E7312-7BCB-475C-89AD-CBB1BE6A3ACD}">
      <formula1>"Aktivasi,Novasi,Modified,PSB,Upgrade,Downgrade,Dismantle"</formula1>
    </dataValidation>
    <dataValidation type="list" allowBlank="1" showInputMessage="1" showErrorMessage="1" sqref="B2:B55 B63:B68" xr:uid="{6D7FCD64-C16B-4FD6-BED9-2BC38A97C2FF}">
      <formula1>"Januari,Februari,Maret,April,Mei,Juni,Juli,Agustus,September,Oktober,November,Desember"</formula1>
    </dataValidation>
    <dataValidation type="list" allowBlank="1" showInputMessage="1" showErrorMessage="1" sqref="C2:C55 C63:C68" xr:uid="{A758FAF5-B103-4294-A4F8-BD9680BB2602}">
      <formula1>"2024,2025,2026,2027,2028"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93D0D-8979-4656-968D-3D158085955F}">
  <dimension ref="A1:R223"/>
  <sheetViews>
    <sheetView workbookViewId="0">
      <pane ySplit="2" topLeftCell="G8" activePane="bottomLeft" state="frozen"/>
      <selection pane="bottomLeft" activeCell="G8" sqref="G8:G9"/>
    </sheetView>
  </sheetViews>
  <sheetFormatPr defaultColWidth="39.42578125" defaultRowHeight="15"/>
  <cols>
    <col min="1" max="1" width="3.28515625" bestFit="1" customWidth="1"/>
    <col min="3" max="3" width="24.7109375" bestFit="1" customWidth="1"/>
    <col min="4" max="4" width="12.5703125" bestFit="1" customWidth="1"/>
    <col min="5" max="5" width="5.28515625" bestFit="1" customWidth="1"/>
    <col min="6" max="6" width="23" bestFit="1" customWidth="1"/>
    <col min="7" max="7" width="10.140625" bestFit="1" customWidth="1"/>
    <col min="8" max="8" width="14" bestFit="1" customWidth="1"/>
    <col min="9" max="9" width="12.85546875" customWidth="1"/>
    <col min="10" max="10" width="20.85546875" customWidth="1"/>
    <col min="11" max="12" width="11.5703125" customWidth="1"/>
    <col min="13" max="13" width="11.140625" customWidth="1"/>
    <col min="14" max="15" width="9.7109375" customWidth="1"/>
    <col min="16" max="17" width="10.28515625" customWidth="1"/>
  </cols>
  <sheetData>
    <row r="1" spans="1:18" ht="28.5" customHeight="1">
      <c r="A1" s="188" t="s">
        <v>3261</v>
      </c>
      <c r="B1" s="188" t="s">
        <v>3262</v>
      </c>
      <c r="C1" s="188" t="s">
        <v>3263</v>
      </c>
      <c r="D1" s="188" t="s">
        <v>3264</v>
      </c>
      <c r="E1" s="195" t="s">
        <v>3265</v>
      </c>
      <c r="F1" s="195" t="s">
        <v>15</v>
      </c>
      <c r="G1" s="195" t="s">
        <v>3266</v>
      </c>
      <c r="H1" s="194" t="s">
        <v>3267</v>
      </c>
      <c r="I1" s="193" t="s">
        <v>3268</v>
      </c>
      <c r="J1" s="193" t="s">
        <v>20</v>
      </c>
      <c r="K1" s="193" t="s">
        <v>973</v>
      </c>
      <c r="L1" s="193"/>
      <c r="M1" s="197"/>
      <c r="N1" s="190" t="s">
        <v>3269</v>
      </c>
      <c r="O1" s="191"/>
      <c r="P1" s="191"/>
      <c r="Q1" s="192"/>
      <c r="R1" s="193" t="s">
        <v>3270</v>
      </c>
    </row>
    <row r="2" spans="1:18">
      <c r="A2" s="189"/>
      <c r="B2" s="198"/>
      <c r="C2" s="198"/>
      <c r="D2" s="198"/>
      <c r="E2" s="196"/>
      <c r="F2" s="196"/>
      <c r="G2" s="196"/>
      <c r="H2" s="194"/>
      <c r="I2" s="193"/>
      <c r="J2" s="193"/>
      <c r="K2" s="118" t="s">
        <v>3271</v>
      </c>
      <c r="L2" s="118" t="s">
        <v>3272</v>
      </c>
      <c r="M2" s="118" t="s">
        <v>3273</v>
      </c>
      <c r="N2" s="117" t="s">
        <v>3274</v>
      </c>
      <c r="O2" s="117" t="s">
        <v>3275</v>
      </c>
      <c r="P2" s="117" t="s">
        <v>3276</v>
      </c>
      <c r="Q2" s="117" t="s">
        <v>2842</v>
      </c>
      <c r="R2" s="193"/>
    </row>
    <row r="3" spans="1:18" ht="23.25">
      <c r="A3" s="104">
        <v>1</v>
      </c>
      <c r="B3" s="105" t="s">
        <v>3277</v>
      </c>
      <c r="C3" s="105" t="s">
        <v>3278</v>
      </c>
      <c r="D3" s="108">
        <v>45799</v>
      </c>
      <c r="E3" s="107" t="s">
        <v>3279</v>
      </c>
      <c r="F3" s="105" t="s">
        <v>32</v>
      </c>
      <c r="G3" s="107" t="s">
        <v>3280</v>
      </c>
      <c r="H3" s="109"/>
      <c r="I3" s="109"/>
      <c r="J3" s="109"/>
      <c r="K3" s="119" t="s">
        <v>3281</v>
      </c>
      <c r="L3" s="119" t="s">
        <v>1135</v>
      </c>
      <c r="M3" s="103">
        <v>10</v>
      </c>
      <c r="N3" s="17">
        <v>1668000</v>
      </c>
      <c r="O3" s="17">
        <v>5571500</v>
      </c>
      <c r="P3" s="17"/>
      <c r="Q3" s="17"/>
    </row>
    <row r="4" spans="1:18" ht="27.75">
      <c r="A4" s="110">
        <v>2</v>
      </c>
      <c r="B4" s="111" t="s">
        <v>568</v>
      </c>
      <c r="C4" s="111" t="s">
        <v>3278</v>
      </c>
      <c r="D4" s="114">
        <v>45784</v>
      </c>
      <c r="E4" s="113" t="s">
        <v>3282</v>
      </c>
      <c r="F4" s="111" t="s">
        <v>3283</v>
      </c>
      <c r="G4" s="113" t="s">
        <v>3280</v>
      </c>
      <c r="H4" s="109" t="s">
        <v>3284</v>
      </c>
      <c r="I4" s="109" t="s">
        <v>3285</v>
      </c>
      <c r="J4" s="115" t="s">
        <v>3286</v>
      </c>
      <c r="K4" s="119" t="s">
        <v>3281</v>
      </c>
      <c r="L4" s="119" t="s">
        <v>1633</v>
      </c>
      <c r="M4" s="103">
        <v>4</v>
      </c>
      <c r="N4" s="17">
        <v>746000</v>
      </c>
      <c r="O4" s="17">
        <v>2718000</v>
      </c>
      <c r="P4" s="17"/>
      <c r="Q4" s="17"/>
      <c r="R4" s="17">
        <v>439000</v>
      </c>
    </row>
    <row r="5" spans="1:18" ht="68.25">
      <c r="A5" s="104">
        <v>3</v>
      </c>
      <c r="B5" s="105" t="s">
        <v>538</v>
      </c>
      <c r="C5" s="105" t="s">
        <v>3278</v>
      </c>
      <c r="D5" s="108">
        <v>45726</v>
      </c>
      <c r="E5" s="107" t="s">
        <v>3287</v>
      </c>
      <c r="F5" s="105" t="s">
        <v>3283</v>
      </c>
      <c r="G5" s="107" t="s">
        <v>3280</v>
      </c>
      <c r="H5" s="109" t="s">
        <v>3284</v>
      </c>
      <c r="I5" s="109" t="s">
        <v>3288</v>
      </c>
      <c r="J5" s="115" t="s">
        <v>3289</v>
      </c>
      <c r="K5" s="119" t="s">
        <v>3281</v>
      </c>
      <c r="L5" s="119" t="s">
        <v>1633</v>
      </c>
      <c r="M5" s="103">
        <v>5</v>
      </c>
      <c r="N5" s="17">
        <v>903000</v>
      </c>
      <c r="O5" s="17">
        <v>3288000</v>
      </c>
      <c r="P5" s="17"/>
      <c r="Q5" s="17"/>
    </row>
    <row r="6" spans="1:18" ht="23.25">
      <c r="A6" s="110">
        <v>4</v>
      </c>
      <c r="B6" s="111" t="s">
        <v>3290</v>
      </c>
      <c r="C6" s="111" t="s">
        <v>3278</v>
      </c>
      <c r="D6" s="114">
        <v>45810</v>
      </c>
      <c r="E6" s="113" t="s">
        <v>3291</v>
      </c>
      <c r="F6" s="111" t="s">
        <v>3292</v>
      </c>
      <c r="G6" s="113" t="s">
        <v>3280</v>
      </c>
      <c r="H6" s="109" t="s">
        <v>3284</v>
      </c>
      <c r="I6" s="115" t="s">
        <v>3293</v>
      </c>
      <c r="J6" s="109"/>
      <c r="K6" s="119" t="s">
        <v>3281</v>
      </c>
      <c r="L6" s="119" t="s">
        <v>1633</v>
      </c>
      <c r="M6" s="103">
        <v>10</v>
      </c>
      <c r="N6" s="17">
        <v>1489000</v>
      </c>
      <c r="O6" s="17">
        <v>5243200</v>
      </c>
      <c r="P6" s="17"/>
      <c r="Q6" s="17"/>
    </row>
    <row r="7" spans="1:18">
      <c r="A7" s="104">
        <v>5</v>
      </c>
      <c r="B7" s="105" t="s">
        <v>532</v>
      </c>
      <c r="C7" s="105" t="s">
        <v>3278</v>
      </c>
      <c r="D7" s="108">
        <v>45739</v>
      </c>
      <c r="E7" s="107" t="s">
        <v>3294</v>
      </c>
      <c r="F7" s="105" t="s">
        <v>3295</v>
      </c>
      <c r="G7" s="107" t="s">
        <v>3280</v>
      </c>
      <c r="H7" s="109" t="s">
        <v>3296</v>
      </c>
      <c r="I7" s="109" t="s">
        <v>3297</v>
      </c>
      <c r="J7" s="109"/>
      <c r="K7" s="119" t="s">
        <v>3298</v>
      </c>
      <c r="L7" s="119"/>
      <c r="M7" s="103"/>
      <c r="N7" s="17"/>
      <c r="O7" s="17"/>
      <c r="P7" s="17"/>
      <c r="Q7" s="17"/>
    </row>
    <row r="8" spans="1:18" ht="24.75" customHeight="1">
      <c r="A8" s="199">
        <v>6</v>
      </c>
      <c r="B8" s="201" t="s">
        <v>605</v>
      </c>
      <c r="C8" s="201" t="s">
        <v>3278</v>
      </c>
      <c r="D8" s="203">
        <v>45820</v>
      </c>
      <c r="E8" s="205" t="s">
        <v>3299</v>
      </c>
      <c r="F8" s="201" t="s">
        <v>3283</v>
      </c>
      <c r="G8" s="203">
        <v>45866</v>
      </c>
      <c r="H8" s="207" t="s">
        <v>3296</v>
      </c>
      <c r="I8" s="208" t="s">
        <v>3300</v>
      </c>
      <c r="J8" s="208"/>
      <c r="K8" s="119" t="s">
        <v>3301</v>
      </c>
      <c r="L8" s="119" t="s">
        <v>1633</v>
      </c>
      <c r="M8" s="103">
        <v>4</v>
      </c>
      <c r="N8" s="17">
        <v>1988100</v>
      </c>
      <c r="O8" s="17">
        <v>9351750</v>
      </c>
      <c r="P8" s="17"/>
      <c r="Q8" s="17"/>
    </row>
    <row r="9" spans="1:18">
      <c r="A9" s="200"/>
      <c r="B9" s="202"/>
      <c r="C9" s="202"/>
      <c r="D9" s="204"/>
      <c r="E9" s="206"/>
      <c r="F9" s="202"/>
      <c r="G9" s="204"/>
      <c r="H9" s="207"/>
      <c r="I9" s="208"/>
      <c r="J9" s="208"/>
      <c r="K9" s="119" t="s">
        <v>3301</v>
      </c>
      <c r="L9" s="119" t="s">
        <v>1633</v>
      </c>
      <c r="M9" s="103">
        <v>10</v>
      </c>
      <c r="N9" s="17">
        <v>1895400</v>
      </c>
      <c r="O9" s="17">
        <v>4869200</v>
      </c>
      <c r="P9" s="17"/>
      <c r="Q9" s="17"/>
    </row>
    <row r="10" spans="1:18" ht="25.5" customHeight="1">
      <c r="A10" s="104">
        <v>7</v>
      </c>
      <c r="B10" s="105" t="s">
        <v>3302</v>
      </c>
      <c r="C10" s="105" t="s">
        <v>3303</v>
      </c>
      <c r="D10" s="108">
        <v>45798</v>
      </c>
      <c r="E10" s="107" t="s">
        <v>3304</v>
      </c>
      <c r="F10" s="105" t="s">
        <v>3305</v>
      </c>
      <c r="G10" s="108">
        <v>45839</v>
      </c>
      <c r="H10" s="109" t="s">
        <v>3284</v>
      </c>
      <c r="I10" s="109" t="s">
        <v>3306</v>
      </c>
      <c r="J10" s="109"/>
      <c r="K10" s="119" t="s">
        <v>3298</v>
      </c>
      <c r="L10" s="119"/>
      <c r="M10" s="103"/>
      <c r="N10" s="17"/>
      <c r="O10" s="17"/>
      <c r="P10" s="17"/>
      <c r="Q10" s="17"/>
    </row>
    <row r="11" spans="1:18" ht="23.25">
      <c r="A11" s="110">
        <v>8</v>
      </c>
      <c r="B11" s="111" t="s">
        <v>3307</v>
      </c>
      <c r="C11" s="111" t="s">
        <v>3308</v>
      </c>
      <c r="D11" s="114">
        <v>45711</v>
      </c>
      <c r="E11" s="113" t="s">
        <v>3309</v>
      </c>
      <c r="F11" s="111" t="s">
        <v>3283</v>
      </c>
      <c r="G11" s="114">
        <v>45839</v>
      </c>
      <c r="H11" s="109" t="s">
        <v>3296</v>
      </c>
      <c r="I11" s="109"/>
      <c r="J11" s="109"/>
      <c r="K11" s="119" t="s">
        <v>3298</v>
      </c>
      <c r="L11" s="119"/>
      <c r="M11" s="103"/>
      <c r="N11" s="17"/>
      <c r="O11" s="17"/>
      <c r="P11" s="17"/>
      <c r="Q11" s="17"/>
    </row>
    <row r="12" spans="1:18" ht="23.25">
      <c r="A12" s="104">
        <v>9</v>
      </c>
      <c r="B12" s="105" t="s">
        <v>560</v>
      </c>
      <c r="C12" s="105" t="s">
        <v>48</v>
      </c>
      <c r="D12" s="108">
        <v>45776</v>
      </c>
      <c r="E12" s="107" t="s">
        <v>3310</v>
      </c>
      <c r="F12" s="105" t="s">
        <v>3283</v>
      </c>
      <c r="G12" s="108">
        <v>45838</v>
      </c>
      <c r="H12" s="109" t="s">
        <v>3296</v>
      </c>
      <c r="I12" s="109" t="s">
        <v>3311</v>
      </c>
      <c r="J12" s="109"/>
      <c r="K12" s="119" t="s">
        <v>3281</v>
      </c>
      <c r="L12" s="119" t="s">
        <v>1633</v>
      </c>
      <c r="M12" s="103">
        <v>4</v>
      </c>
      <c r="N12" s="17">
        <v>746000</v>
      </c>
      <c r="O12" s="17">
        <v>2718000</v>
      </c>
      <c r="P12" s="17"/>
      <c r="Q12" s="17"/>
    </row>
    <row r="13" spans="1:18">
      <c r="A13" s="110">
        <v>10</v>
      </c>
      <c r="B13" s="111" t="s">
        <v>620</v>
      </c>
      <c r="C13" s="111" t="s">
        <v>3278</v>
      </c>
      <c r="D13" s="114">
        <v>45792</v>
      </c>
      <c r="E13" s="113" t="s">
        <v>3279</v>
      </c>
      <c r="F13" s="111" t="s">
        <v>3283</v>
      </c>
      <c r="G13" s="113" t="s">
        <v>3280</v>
      </c>
      <c r="H13" s="109" t="s">
        <v>3296</v>
      </c>
      <c r="I13" s="116" t="s">
        <v>3312</v>
      </c>
      <c r="J13" s="109"/>
      <c r="K13" s="119" t="s">
        <v>3298</v>
      </c>
      <c r="L13" s="119"/>
      <c r="M13" s="103"/>
      <c r="N13" s="17"/>
      <c r="O13" s="17"/>
      <c r="P13" s="17"/>
      <c r="Q13" s="17"/>
    </row>
    <row r="14" spans="1:18">
      <c r="A14" s="104">
        <v>11</v>
      </c>
      <c r="B14" s="105" t="s">
        <v>610</v>
      </c>
      <c r="C14" s="105" t="s">
        <v>48</v>
      </c>
      <c r="D14" s="108">
        <v>45810</v>
      </c>
      <c r="E14" s="107" t="s">
        <v>3313</v>
      </c>
      <c r="F14" s="105" t="s">
        <v>3314</v>
      </c>
      <c r="G14" s="108">
        <v>45838</v>
      </c>
      <c r="H14" s="109" t="s">
        <v>3284</v>
      </c>
      <c r="I14" s="109" t="s">
        <v>3315</v>
      </c>
      <c r="J14" s="109"/>
      <c r="K14" s="119" t="s">
        <v>3281</v>
      </c>
      <c r="L14" s="119" t="s">
        <v>1633</v>
      </c>
      <c r="M14" s="103">
        <v>5</v>
      </c>
      <c r="N14" s="17">
        <v>1013000</v>
      </c>
      <c r="O14" s="17">
        <v>3690000</v>
      </c>
      <c r="P14" s="17"/>
      <c r="Q14" s="17"/>
    </row>
    <row r="15" spans="1:18">
      <c r="A15" s="104">
        <v>12</v>
      </c>
      <c r="B15" s="105" t="s">
        <v>594</v>
      </c>
      <c r="C15" s="105" t="s">
        <v>48</v>
      </c>
      <c r="D15" s="107" t="s">
        <v>3316</v>
      </c>
      <c r="E15" s="107" t="s">
        <v>3280</v>
      </c>
      <c r="F15" s="106" t="s">
        <v>397</v>
      </c>
      <c r="G15" s="107" t="s">
        <v>3280</v>
      </c>
      <c r="H15" s="109" t="s">
        <v>3296</v>
      </c>
      <c r="I15" s="109"/>
      <c r="J15" s="109"/>
      <c r="K15" s="119"/>
      <c r="L15" s="119"/>
      <c r="M15" s="103"/>
      <c r="N15" s="17"/>
      <c r="O15" s="17"/>
      <c r="P15" s="17"/>
      <c r="Q15" s="17"/>
    </row>
    <row r="16" spans="1:18">
      <c r="A16" s="110">
        <v>13</v>
      </c>
      <c r="B16" s="111" t="s">
        <v>3317</v>
      </c>
      <c r="C16" s="111" t="s">
        <v>48</v>
      </c>
      <c r="D16" s="113" t="s">
        <v>3280</v>
      </c>
      <c r="E16" s="113" t="s">
        <v>3280</v>
      </c>
      <c r="F16" s="112" t="s">
        <v>397</v>
      </c>
      <c r="G16" s="113" t="s">
        <v>3280</v>
      </c>
      <c r="H16" s="109"/>
      <c r="I16" s="109"/>
      <c r="J16" s="109"/>
      <c r="K16" s="119"/>
      <c r="L16" s="119"/>
      <c r="M16" s="103"/>
      <c r="N16" s="17"/>
      <c r="O16" s="17"/>
      <c r="P16" s="17"/>
      <c r="Q16" s="17"/>
    </row>
    <row r="17" spans="1:17">
      <c r="A17">
        <v>14</v>
      </c>
      <c r="B17" s="44" t="s">
        <v>549</v>
      </c>
      <c r="C17" t="s">
        <v>48</v>
      </c>
      <c r="D17" s="27">
        <v>45763</v>
      </c>
      <c r="H17" t="s">
        <v>3284</v>
      </c>
      <c r="K17" s="119"/>
      <c r="L17" s="119"/>
      <c r="M17" s="103"/>
      <c r="N17" s="17"/>
      <c r="O17" s="17"/>
      <c r="P17" s="17"/>
      <c r="Q17" s="17"/>
    </row>
    <row r="18" spans="1:17">
      <c r="K18" s="119"/>
      <c r="L18" s="119"/>
      <c r="M18" s="103"/>
      <c r="N18" s="17"/>
      <c r="O18" s="17"/>
      <c r="P18" s="17"/>
      <c r="Q18" s="17"/>
    </row>
    <row r="19" spans="1:17">
      <c r="K19" s="119"/>
      <c r="L19" s="119"/>
      <c r="M19" s="103"/>
      <c r="N19" s="17"/>
      <c r="O19" s="17"/>
      <c r="P19" s="17"/>
      <c r="Q19" s="17"/>
    </row>
    <row r="20" spans="1:17">
      <c r="K20" s="119"/>
      <c r="L20" s="119"/>
      <c r="M20" s="103"/>
      <c r="N20" s="17"/>
      <c r="O20" s="17"/>
      <c r="P20" s="17"/>
      <c r="Q20" s="17"/>
    </row>
    <row r="21" spans="1:17">
      <c r="K21" s="119"/>
      <c r="L21" s="119"/>
      <c r="M21" s="103"/>
      <c r="N21" s="17"/>
      <c r="O21" s="17"/>
      <c r="P21" s="17"/>
      <c r="Q21" s="17"/>
    </row>
    <row r="22" spans="1:17">
      <c r="K22" s="119"/>
      <c r="L22" s="119"/>
      <c r="M22" s="103"/>
      <c r="N22" s="17"/>
      <c r="O22" s="17"/>
      <c r="P22" s="17"/>
      <c r="Q22" s="17"/>
    </row>
    <row r="23" spans="1:17">
      <c r="K23" s="119"/>
      <c r="L23" s="119"/>
      <c r="M23" s="103"/>
      <c r="N23" s="17"/>
      <c r="O23" s="17"/>
      <c r="P23" s="17"/>
      <c r="Q23" s="17"/>
    </row>
    <row r="24" spans="1:17">
      <c r="K24" s="119"/>
      <c r="L24" s="119"/>
      <c r="M24" s="103"/>
      <c r="N24" s="17"/>
      <c r="O24" s="17"/>
      <c r="P24" s="17"/>
      <c r="Q24" s="17"/>
    </row>
    <row r="25" spans="1:17">
      <c r="K25" s="119"/>
      <c r="L25" s="119"/>
      <c r="M25" s="103"/>
      <c r="N25" s="17"/>
      <c r="O25" s="17"/>
      <c r="P25" s="17"/>
      <c r="Q25" s="17"/>
    </row>
    <row r="26" spans="1:17">
      <c r="K26" s="119"/>
      <c r="L26" s="119"/>
      <c r="M26" s="103"/>
      <c r="N26" s="17"/>
      <c r="O26" s="17"/>
      <c r="P26" s="17"/>
      <c r="Q26" s="17"/>
    </row>
    <row r="27" spans="1:17">
      <c r="K27" s="119"/>
      <c r="L27" s="119"/>
      <c r="M27" s="103"/>
      <c r="N27" s="17"/>
      <c r="O27" s="17"/>
      <c r="P27" s="17"/>
      <c r="Q27" s="17"/>
    </row>
    <row r="28" spans="1:17">
      <c r="K28" s="119"/>
      <c r="L28" s="119"/>
      <c r="M28" s="103"/>
      <c r="N28" s="17"/>
      <c r="O28" s="17"/>
      <c r="P28" s="17"/>
      <c r="Q28" s="17"/>
    </row>
    <row r="29" spans="1:17">
      <c r="K29" s="119"/>
      <c r="L29" s="119"/>
      <c r="M29" s="103"/>
      <c r="N29" s="17"/>
      <c r="O29" s="17"/>
      <c r="P29" s="17"/>
      <c r="Q29" s="17"/>
    </row>
    <row r="30" spans="1:17">
      <c r="K30" s="119"/>
      <c r="L30" s="119"/>
      <c r="M30" s="103"/>
      <c r="N30" s="17"/>
      <c r="O30" s="17"/>
      <c r="P30" s="17"/>
      <c r="Q30" s="17"/>
    </row>
    <row r="31" spans="1:17">
      <c r="K31" s="119"/>
      <c r="L31" s="119"/>
      <c r="M31" s="103"/>
      <c r="N31" s="17"/>
      <c r="O31" s="17"/>
      <c r="P31" s="17"/>
      <c r="Q31" s="17"/>
    </row>
    <row r="32" spans="1:17">
      <c r="K32" s="119"/>
      <c r="L32" s="119"/>
      <c r="M32" s="103"/>
      <c r="N32" s="17"/>
      <c r="O32" s="17"/>
      <c r="P32" s="17"/>
      <c r="Q32" s="17"/>
    </row>
    <row r="33" spans="11:17">
      <c r="K33" s="119"/>
      <c r="L33" s="119"/>
      <c r="M33" s="103"/>
      <c r="N33" s="17"/>
      <c r="O33" s="17"/>
      <c r="P33" s="17"/>
      <c r="Q33" s="17"/>
    </row>
    <row r="34" spans="11:17">
      <c r="K34" s="119"/>
      <c r="L34" s="119"/>
      <c r="M34" s="103"/>
      <c r="N34" s="17"/>
      <c r="O34" s="17"/>
      <c r="P34" s="17"/>
      <c r="Q34" s="17"/>
    </row>
    <row r="35" spans="11:17">
      <c r="K35" s="119"/>
      <c r="L35" s="119"/>
      <c r="M35" s="103"/>
      <c r="N35" s="17"/>
      <c r="O35" s="17"/>
      <c r="P35" s="17"/>
      <c r="Q35" s="17"/>
    </row>
    <row r="36" spans="11:17">
      <c r="K36" s="119"/>
      <c r="L36" s="119"/>
      <c r="M36" s="103"/>
      <c r="N36" s="17"/>
      <c r="O36" s="17"/>
      <c r="P36" s="17"/>
      <c r="Q36" s="17"/>
    </row>
    <row r="37" spans="11:17">
      <c r="K37" s="119"/>
      <c r="L37" s="119"/>
      <c r="M37" s="103"/>
      <c r="N37" s="17"/>
      <c r="O37" s="17"/>
      <c r="P37" s="17"/>
      <c r="Q37" s="17"/>
    </row>
    <row r="38" spans="11:17">
      <c r="K38" s="119"/>
      <c r="L38" s="119"/>
      <c r="M38" s="103"/>
      <c r="N38" s="17"/>
      <c r="O38" s="17"/>
      <c r="P38" s="17"/>
      <c r="Q38" s="17"/>
    </row>
    <row r="39" spans="11:17">
      <c r="K39" s="119"/>
      <c r="L39" s="119"/>
      <c r="M39" s="103"/>
      <c r="N39" s="17"/>
      <c r="O39" s="17"/>
      <c r="P39" s="17"/>
      <c r="Q39" s="17"/>
    </row>
    <row r="40" spans="11:17">
      <c r="K40" s="119"/>
      <c r="L40" s="119"/>
      <c r="M40" s="103"/>
      <c r="N40" s="17"/>
      <c r="O40" s="17"/>
      <c r="P40" s="17"/>
      <c r="Q40" s="17"/>
    </row>
    <row r="41" spans="11:17">
      <c r="K41" s="119"/>
      <c r="L41" s="119"/>
      <c r="M41" s="103"/>
      <c r="N41" s="17"/>
      <c r="O41" s="17"/>
      <c r="P41" s="17"/>
      <c r="Q41" s="17"/>
    </row>
    <row r="42" spans="11:17">
      <c r="K42" s="119"/>
      <c r="L42" s="119"/>
      <c r="M42" s="103"/>
      <c r="N42" s="17"/>
      <c r="O42" s="17"/>
      <c r="P42" s="17"/>
      <c r="Q42" s="17"/>
    </row>
    <row r="43" spans="11:17">
      <c r="K43" s="119"/>
      <c r="L43" s="119"/>
      <c r="M43" s="103"/>
      <c r="N43" s="17"/>
      <c r="O43" s="17"/>
      <c r="P43" s="17"/>
      <c r="Q43" s="17"/>
    </row>
    <row r="44" spans="11:17">
      <c r="K44" s="119"/>
      <c r="L44" s="119"/>
      <c r="M44" s="103"/>
      <c r="N44" s="17"/>
      <c r="O44" s="17"/>
      <c r="P44" s="17"/>
      <c r="Q44" s="17"/>
    </row>
    <row r="45" spans="11:17">
      <c r="K45" s="119"/>
      <c r="L45" s="119"/>
      <c r="M45" s="103"/>
      <c r="N45" s="17"/>
      <c r="O45" s="17"/>
      <c r="P45" s="17"/>
      <c r="Q45" s="17"/>
    </row>
    <row r="46" spans="11:17">
      <c r="K46" s="119"/>
      <c r="L46" s="119"/>
      <c r="M46" s="103"/>
      <c r="N46" s="17"/>
      <c r="O46" s="17"/>
      <c r="P46" s="17"/>
      <c r="Q46" s="17"/>
    </row>
    <row r="47" spans="11:17">
      <c r="K47" s="119"/>
      <c r="L47" s="119"/>
      <c r="M47" s="103"/>
      <c r="N47" s="17"/>
      <c r="O47" s="17"/>
      <c r="P47" s="17"/>
      <c r="Q47" s="17"/>
    </row>
    <row r="48" spans="11:17">
      <c r="K48" s="119"/>
      <c r="L48" s="119"/>
      <c r="M48" s="103"/>
      <c r="N48" s="17"/>
      <c r="O48" s="17"/>
      <c r="P48" s="17"/>
      <c r="Q48" s="17"/>
    </row>
    <row r="49" spans="11:17">
      <c r="K49" s="119"/>
      <c r="L49" s="119"/>
      <c r="M49" s="103"/>
      <c r="N49" s="17"/>
      <c r="O49" s="17"/>
      <c r="P49" s="17"/>
      <c r="Q49" s="17"/>
    </row>
    <row r="50" spans="11:17">
      <c r="K50" s="119"/>
      <c r="L50" s="119"/>
      <c r="M50" s="103"/>
      <c r="N50" s="17"/>
      <c r="O50" s="17"/>
      <c r="P50" s="17"/>
      <c r="Q50" s="17"/>
    </row>
    <row r="51" spans="11:17">
      <c r="K51" s="119"/>
      <c r="L51" s="119"/>
      <c r="M51" s="103"/>
      <c r="N51" s="17"/>
      <c r="O51" s="17"/>
      <c r="P51" s="17"/>
      <c r="Q51" s="17"/>
    </row>
    <row r="52" spans="11:17">
      <c r="K52" s="119"/>
      <c r="L52" s="119"/>
      <c r="M52" s="103"/>
      <c r="N52" s="17"/>
      <c r="O52" s="17"/>
      <c r="P52" s="17"/>
      <c r="Q52" s="17"/>
    </row>
    <row r="53" spans="11:17">
      <c r="K53" s="119"/>
      <c r="L53" s="119"/>
      <c r="M53" s="103"/>
      <c r="N53" s="17"/>
      <c r="O53" s="17"/>
      <c r="P53" s="17"/>
      <c r="Q53" s="17"/>
    </row>
    <row r="54" spans="11:17">
      <c r="K54" s="119"/>
      <c r="L54" s="119"/>
      <c r="M54" s="103"/>
      <c r="N54" s="17"/>
      <c r="O54" s="17"/>
      <c r="P54" s="17"/>
      <c r="Q54" s="17"/>
    </row>
    <row r="55" spans="11:17">
      <c r="K55" s="119"/>
      <c r="L55" s="119"/>
      <c r="M55" s="103"/>
      <c r="N55" s="17"/>
      <c r="O55" s="17"/>
      <c r="P55" s="17"/>
      <c r="Q55" s="17"/>
    </row>
    <row r="56" spans="11:17">
      <c r="K56" s="119"/>
      <c r="L56" s="119"/>
      <c r="M56" s="103"/>
      <c r="N56" s="17"/>
      <c r="O56" s="17"/>
      <c r="P56" s="17"/>
      <c r="Q56" s="17"/>
    </row>
    <row r="57" spans="11:17">
      <c r="K57" s="119"/>
      <c r="L57" s="119"/>
      <c r="M57" s="103"/>
      <c r="N57" s="17"/>
      <c r="O57" s="17"/>
      <c r="P57" s="17"/>
      <c r="Q57" s="17"/>
    </row>
    <row r="58" spans="11:17">
      <c r="K58" s="119"/>
      <c r="L58" s="119"/>
      <c r="M58" s="103"/>
      <c r="N58" s="17"/>
      <c r="O58" s="17"/>
      <c r="P58" s="17"/>
      <c r="Q58" s="17"/>
    </row>
    <row r="59" spans="11:17">
      <c r="K59" s="119"/>
      <c r="L59" s="119"/>
      <c r="M59" s="103"/>
      <c r="N59" s="17"/>
      <c r="O59" s="17"/>
      <c r="P59" s="17"/>
      <c r="Q59" s="17"/>
    </row>
    <row r="60" spans="11:17">
      <c r="K60" s="119"/>
      <c r="L60" s="119"/>
      <c r="M60" s="103"/>
      <c r="N60" s="17"/>
      <c r="O60" s="17"/>
      <c r="P60" s="17"/>
      <c r="Q60" s="17"/>
    </row>
    <row r="61" spans="11:17">
      <c r="K61" s="119"/>
      <c r="L61" s="119"/>
      <c r="M61" s="103"/>
      <c r="N61" s="17"/>
      <c r="O61" s="17"/>
      <c r="P61" s="17"/>
      <c r="Q61" s="17"/>
    </row>
    <row r="62" spans="11:17">
      <c r="K62" s="119"/>
      <c r="L62" s="119"/>
      <c r="M62" s="103"/>
      <c r="N62" s="17"/>
      <c r="O62" s="17"/>
      <c r="P62" s="17"/>
      <c r="Q62" s="17"/>
    </row>
    <row r="63" spans="11:17">
      <c r="K63" s="119"/>
      <c r="L63" s="119"/>
      <c r="M63" s="103"/>
      <c r="N63" s="17"/>
      <c r="O63" s="17"/>
      <c r="P63" s="17"/>
      <c r="Q63" s="17"/>
    </row>
    <row r="64" spans="11:17">
      <c r="K64" s="119"/>
      <c r="L64" s="119"/>
      <c r="M64" s="103"/>
      <c r="N64" s="17"/>
      <c r="O64" s="17"/>
      <c r="P64" s="17"/>
      <c r="Q64" s="17"/>
    </row>
    <row r="65" spans="11:17">
      <c r="K65" s="119"/>
      <c r="L65" s="119"/>
      <c r="M65" s="103"/>
      <c r="N65" s="17"/>
      <c r="O65" s="17"/>
      <c r="P65" s="17"/>
      <c r="Q65" s="17"/>
    </row>
    <row r="66" spans="11:17">
      <c r="K66" s="119"/>
      <c r="L66" s="119"/>
      <c r="M66" s="103"/>
      <c r="N66" s="17"/>
      <c r="O66" s="17"/>
      <c r="P66" s="17"/>
      <c r="Q66" s="17"/>
    </row>
    <row r="67" spans="11:17">
      <c r="K67" s="119"/>
      <c r="L67" s="119"/>
      <c r="M67" s="103"/>
      <c r="N67" s="17"/>
      <c r="O67" s="17"/>
      <c r="P67" s="17"/>
      <c r="Q67" s="17"/>
    </row>
    <row r="68" spans="11:17">
      <c r="K68" s="119"/>
      <c r="L68" s="119"/>
      <c r="M68" s="103"/>
      <c r="N68" s="17"/>
      <c r="O68" s="17"/>
      <c r="P68" s="17"/>
      <c r="Q68" s="17"/>
    </row>
    <row r="69" spans="11:17">
      <c r="K69" s="119"/>
      <c r="L69" s="119"/>
      <c r="M69" s="103"/>
      <c r="N69" s="17"/>
      <c r="O69" s="17"/>
      <c r="P69" s="17"/>
      <c r="Q69" s="17"/>
    </row>
    <row r="70" spans="11:17">
      <c r="K70" s="119"/>
      <c r="L70" s="119"/>
      <c r="M70" s="103"/>
      <c r="N70" s="17"/>
      <c r="O70" s="17"/>
      <c r="P70" s="17"/>
      <c r="Q70" s="17"/>
    </row>
    <row r="71" spans="11:17">
      <c r="K71" s="119"/>
      <c r="L71" s="119"/>
      <c r="M71" s="103"/>
      <c r="N71" s="17"/>
      <c r="O71" s="17"/>
      <c r="P71" s="17"/>
      <c r="Q71" s="17"/>
    </row>
    <row r="72" spans="11:17">
      <c r="K72" s="119"/>
      <c r="L72" s="119"/>
      <c r="M72" s="103"/>
      <c r="N72" s="17"/>
      <c r="O72" s="17"/>
      <c r="P72" s="17"/>
      <c r="Q72" s="17"/>
    </row>
    <row r="73" spans="11:17">
      <c r="K73" s="119"/>
      <c r="L73" s="119"/>
      <c r="M73" s="103"/>
      <c r="N73" s="17"/>
      <c r="O73" s="17"/>
      <c r="P73" s="17"/>
      <c r="Q73" s="17"/>
    </row>
    <row r="74" spans="11:17">
      <c r="K74" s="119"/>
      <c r="L74" s="119"/>
      <c r="M74" s="103"/>
      <c r="N74" s="17"/>
      <c r="O74" s="17"/>
      <c r="P74" s="17"/>
      <c r="Q74" s="17"/>
    </row>
    <row r="75" spans="11:17">
      <c r="K75" s="119"/>
      <c r="L75" s="119"/>
      <c r="M75" s="103"/>
      <c r="N75" s="17"/>
      <c r="O75" s="17"/>
      <c r="P75" s="17"/>
      <c r="Q75" s="17"/>
    </row>
    <row r="76" spans="11:17">
      <c r="K76" s="119"/>
      <c r="L76" s="119"/>
      <c r="M76" s="103"/>
    </row>
    <row r="77" spans="11:17">
      <c r="K77" s="119"/>
      <c r="L77" s="119"/>
      <c r="M77" s="103"/>
    </row>
    <row r="78" spans="11:17">
      <c r="K78" s="119"/>
      <c r="L78" s="119"/>
      <c r="M78" s="103"/>
    </row>
    <row r="79" spans="11:17">
      <c r="K79" s="109"/>
      <c r="L79" s="109"/>
    </row>
    <row r="80" spans="11:17">
      <c r="K80" s="109"/>
      <c r="L80" s="109"/>
    </row>
    <row r="81" spans="11:12">
      <c r="K81" s="109"/>
      <c r="L81" s="109"/>
    </row>
    <row r="82" spans="11:12">
      <c r="K82" s="109"/>
      <c r="L82" s="109"/>
    </row>
    <row r="83" spans="11:12">
      <c r="K83" s="109"/>
      <c r="L83" s="109"/>
    </row>
    <row r="84" spans="11:12">
      <c r="K84" s="109"/>
      <c r="L84" s="109"/>
    </row>
    <row r="85" spans="11:12">
      <c r="K85" s="109"/>
      <c r="L85" s="109"/>
    </row>
    <row r="86" spans="11:12">
      <c r="K86" s="109"/>
      <c r="L86" s="109"/>
    </row>
    <row r="87" spans="11:12">
      <c r="K87" s="109"/>
      <c r="L87" s="109"/>
    </row>
    <row r="88" spans="11:12">
      <c r="K88" s="109"/>
      <c r="L88" s="109"/>
    </row>
    <row r="89" spans="11:12">
      <c r="K89" s="109"/>
      <c r="L89" s="109"/>
    </row>
    <row r="90" spans="11:12">
      <c r="K90" s="109"/>
      <c r="L90" s="109"/>
    </row>
    <row r="91" spans="11:12">
      <c r="K91" s="109"/>
      <c r="L91" s="109"/>
    </row>
    <row r="92" spans="11:12">
      <c r="K92" s="109"/>
      <c r="L92" s="109"/>
    </row>
    <row r="93" spans="11:12">
      <c r="K93" s="109"/>
      <c r="L93" s="109"/>
    </row>
    <row r="94" spans="11:12">
      <c r="K94" s="109"/>
      <c r="L94" s="109"/>
    </row>
    <row r="95" spans="11:12">
      <c r="K95" s="109"/>
      <c r="L95" s="109"/>
    </row>
    <row r="96" spans="11:12">
      <c r="K96" s="109"/>
      <c r="L96" s="109"/>
    </row>
    <row r="97" spans="11:12">
      <c r="K97" s="109"/>
      <c r="L97" s="109"/>
    </row>
    <row r="98" spans="11:12">
      <c r="K98" s="109"/>
      <c r="L98" s="109"/>
    </row>
    <row r="99" spans="11:12">
      <c r="K99" s="109"/>
      <c r="L99" s="109"/>
    </row>
    <row r="100" spans="11:12">
      <c r="K100" s="109"/>
      <c r="L100" s="109"/>
    </row>
    <row r="101" spans="11:12">
      <c r="K101" s="109"/>
      <c r="L101" s="109"/>
    </row>
    <row r="102" spans="11:12">
      <c r="K102" s="109"/>
      <c r="L102" s="109"/>
    </row>
    <row r="103" spans="11:12">
      <c r="K103" s="109"/>
      <c r="L103" s="109"/>
    </row>
    <row r="104" spans="11:12">
      <c r="K104" s="109"/>
      <c r="L104" s="109"/>
    </row>
    <row r="105" spans="11:12">
      <c r="K105" s="109"/>
      <c r="L105" s="109"/>
    </row>
    <row r="106" spans="11:12">
      <c r="K106" s="109"/>
      <c r="L106" s="109"/>
    </row>
    <row r="107" spans="11:12">
      <c r="K107" s="109"/>
      <c r="L107" s="109"/>
    </row>
    <row r="108" spans="11:12">
      <c r="K108" s="109"/>
      <c r="L108" s="109"/>
    </row>
    <row r="109" spans="11:12">
      <c r="K109" s="109"/>
      <c r="L109" s="109"/>
    </row>
    <row r="110" spans="11:12">
      <c r="K110" s="109"/>
      <c r="L110" s="109"/>
    </row>
    <row r="111" spans="11:12">
      <c r="K111" s="109"/>
      <c r="L111" s="109"/>
    </row>
    <row r="112" spans="11:12">
      <c r="K112" s="109"/>
      <c r="L112" s="109"/>
    </row>
    <row r="113" spans="11:12">
      <c r="K113" s="109"/>
      <c r="L113" s="109"/>
    </row>
    <row r="114" spans="11:12">
      <c r="K114" s="109"/>
      <c r="L114" s="109"/>
    </row>
    <row r="115" spans="11:12">
      <c r="K115" s="109"/>
      <c r="L115" s="109"/>
    </row>
    <row r="116" spans="11:12">
      <c r="K116" s="109"/>
      <c r="L116" s="109"/>
    </row>
    <row r="117" spans="11:12">
      <c r="K117" s="109"/>
      <c r="L117" s="109"/>
    </row>
    <row r="118" spans="11:12">
      <c r="K118" s="109"/>
      <c r="L118" s="109"/>
    </row>
    <row r="119" spans="11:12">
      <c r="K119" s="109"/>
      <c r="L119" s="109"/>
    </row>
    <row r="120" spans="11:12">
      <c r="K120" s="109"/>
      <c r="L120" s="109"/>
    </row>
    <row r="121" spans="11:12">
      <c r="K121" s="109"/>
      <c r="L121" s="109"/>
    </row>
    <row r="122" spans="11:12">
      <c r="K122" s="109"/>
      <c r="L122" s="109"/>
    </row>
    <row r="123" spans="11:12">
      <c r="K123" s="109"/>
      <c r="L123" s="109"/>
    </row>
    <row r="124" spans="11:12">
      <c r="K124" s="109"/>
      <c r="L124" s="109"/>
    </row>
    <row r="125" spans="11:12">
      <c r="K125" s="109"/>
      <c r="L125" s="109"/>
    </row>
    <row r="126" spans="11:12">
      <c r="K126" s="109"/>
      <c r="L126" s="109"/>
    </row>
    <row r="127" spans="11:12">
      <c r="K127" s="109"/>
      <c r="L127" s="109"/>
    </row>
    <row r="128" spans="11:12">
      <c r="K128" s="109"/>
      <c r="L128" s="109"/>
    </row>
    <row r="129" spans="11:12">
      <c r="K129" s="109"/>
      <c r="L129" s="109"/>
    </row>
    <row r="130" spans="11:12">
      <c r="K130" s="109"/>
      <c r="L130" s="109"/>
    </row>
    <row r="131" spans="11:12">
      <c r="K131" s="109"/>
      <c r="L131" s="109"/>
    </row>
    <row r="132" spans="11:12">
      <c r="K132" s="109"/>
      <c r="L132" s="109"/>
    </row>
    <row r="133" spans="11:12">
      <c r="K133" s="109"/>
      <c r="L133" s="109"/>
    </row>
    <row r="134" spans="11:12">
      <c r="K134" s="109"/>
      <c r="L134" s="109"/>
    </row>
    <row r="135" spans="11:12">
      <c r="K135" s="109"/>
      <c r="L135" s="109"/>
    </row>
    <row r="136" spans="11:12">
      <c r="K136" s="109"/>
      <c r="L136" s="109"/>
    </row>
    <row r="137" spans="11:12">
      <c r="K137" s="109"/>
      <c r="L137" s="109"/>
    </row>
    <row r="138" spans="11:12">
      <c r="K138" s="109"/>
      <c r="L138" s="109"/>
    </row>
    <row r="139" spans="11:12">
      <c r="K139" s="109"/>
      <c r="L139" s="109"/>
    </row>
    <row r="140" spans="11:12">
      <c r="K140" s="109"/>
      <c r="L140" s="109"/>
    </row>
    <row r="141" spans="11:12">
      <c r="K141" s="109"/>
      <c r="L141" s="109"/>
    </row>
    <row r="142" spans="11:12">
      <c r="K142" s="109"/>
      <c r="L142" s="109"/>
    </row>
    <row r="143" spans="11:12">
      <c r="K143" s="109"/>
      <c r="L143" s="109"/>
    </row>
    <row r="144" spans="11:12">
      <c r="K144" s="109"/>
      <c r="L144" s="109"/>
    </row>
    <row r="145" spans="11:12">
      <c r="K145" s="109"/>
      <c r="L145" s="109"/>
    </row>
    <row r="146" spans="11:12">
      <c r="K146" s="109"/>
      <c r="L146" s="109"/>
    </row>
    <row r="147" spans="11:12">
      <c r="K147" s="109"/>
      <c r="L147" s="109"/>
    </row>
    <row r="148" spans="11:12">
      <c r="K148" s="109"/>
      <c r="L148" s="109"/>
    </row>
    <row r="149" spans="11:12">
      <c r="K149" s="109"/>
      <c r="L149" s="109"/>
    </row>
    <row r="150" spans="11:12">
      <c r="K150" s="109"/>
      <c r="L150" s="109"/>
    </row>
    <row r="151" spans="11:12">
      <c r="K151" s="109"/>
      <c r="L151" s="109"/>
    </row>
    <row r="152" spans="11:12">
      <c r="K152" s="109"/>
      <c r="L152" s="109"/>
    </row>
    <row r="153" spans="11:12">
      <c r="K153" s="109"/>
      <c r="L153" s="109"/>
    </row>
    <row r="154" spans="11:12">
      <c r="K154" s="109"/>
      <c r="L154" s="109"/>
    </row>
    <row r="155" spans="11:12">
      <c r="K155" s="109"/>
      <c r="L155" s="109"/>
    </row>
    <row r="156" spans="11:12">
      <c r="K156" s="109"/>
      <c r="L156" s="109"/>
    </row>
    <row r="157" spans="11:12">
      <c r="K157" s="109"/>
      <c r="L157" s="109"/>
    </row>
    <row r="158" spans="11:12">
      <c r="K158" s="109"/>
      <c r="L158" s="109"/>
    </row>
    <row r="159" spans="11:12">
      <c r="K159" s="109"/>
      <c r="L159" s="109"/>
    </row>
    <row r="160" spans="11:12">
      <c r="K160" s="109"/>
      <c r="L160" s="109"/>
    </row>
    <row r="161" spans="11:12">
      <c r="K161" s="109"/>
      <c r="L161" s="109"/>
    </row>
    <row r="162" spans="11:12">
      <c r="K162" s="109"/>
      <c r="L162" s="109"/>
    </row>
    <row r="163" spans="11:12">
      <c r="K163" s="109"/>
      <c r="L163" s="109"/>
    </row>
    <row r="164" spans="11:12">
      <c r="K164" s="109"/>
      <c r="L164" s="109"/>
    </row>
    <row r="165" spans="11:12">
      <c r="K165" s="109"/>
      <c r="L165" s="109"/>
    </row>
    <row r="166" spans="11:12">
      <c r="K166" s="109"/>
      <c r="L166" s="109"/>
    </row>
    <row r="167" spans="11:12">
      <c r="K167" s="109"/>
      <c r="L167" s="109"/>
    </row>
    <row r="168" spans="11:12">
      <c r="K168" s="109"/>
      <c r="L168" s="109"/>
    </row>
    <row r="169" spans="11:12">
      <c r="K169" s="109"/>
      <c r="L169" s="109"/>
    </row>
    <row r="170" spans="11:12">
      <c r="K170" s="109"/>
      <c r="L170" s="109"/>
    </row>
    <row r="171" spans="11:12">
      <c r="K171" s="109"/>
      <c r="L171" s="109"/>
    </row>
    <row r="172" spans="11:12">
      <c r="K172" s="109"/>
      <c r="L172" s="109"/>
    </row>
    <row r="173" spans="11:12">
      <c r="K173" s="109"/>
      <c r="L173" s="109"/>
    </row>
    <row r="174" spans="11:12">
      <c r="K174" s="109"/>
      <c r="L174" s="109"/>
    </row>
    <row r="175" spans="11:12">
      <c r="K175" s="109"/>
      <c r="L175" s="109"/>
    </row>
    <row r="176" spans="11:12">
      <c r="K176" s="109"/>
      <c r="L176" s="109"/>
    </row>
    <row r="177" spans="11:12">
      <c r="K177" s="109"/>
      <c r="L177" s="109"/>
    </row>
    <row r="178" spans="11:12">
      <c r="K178" s="109"/>
      <c r="L178" s="109"/>
    </row>
    <row r="179" spans="11:12">
      <c r="K179" s="109"/>
      <c r="L179" s="109"/>
    </row>
    <row r="180" spans="11:12">
      <c r="K180" s="109"/>
      <c r="L180" s="109"/>
    </row>
    <row r="181" spans="11:12">
      <c r="K181" s="109"/>
      <c r="L181" s="109"/>
    </row>
    <row r="182" spans="11:12">
      <c r="K182" s="109"/>
      <c r="L182" s="109"/>
    </row>
    <row r="183" spans="11:12">
      <c r="K183" s="109"/>
      <c r="L183" s="109"/>
    </row>
    <row r="184" spans="11:12">
      <c r="K184" s="109"/>
      <c r="L184" s="109"/>
    </row>
    <row r="185" spans="11:12">
      <c r="K185" s="109"/>
      <c r="L185" s="109"/>
    </row>
    <row r="186" spans="11:12">
      <c r="K186" s="109"/>
      <c r="L186" s="109"/>
    </row>
    <row r="187" spans="11:12">
      <c r="K187" s="109"/>
      <c r="L187" s="109"/>
    </row>
    <row r="188" spans="11:12">
      <c r="K188" s="109"/>
      <c r="L188" s="109"/>
    </row>
    <row r="189" spans="11:12">
      <c r="K189" s="109"/>
      <c r="L189" s="109"/>
    </row>
    <row r="190" spans="11:12">
      <c r="K190" s="109"/>
      <c r="L190" s="109"/>
    </row>
    <row r="191" spans="11:12">
      <c r="K191" s="109"/>
      <c r="L191" s="109"/>
    </row>
    <row r="192" spans="11:12">
      <c r="K192" s="109"/>
      <c r="L192" s="109"/>
    </row>
    <row r="193" spans="11:12">
      <c r="K193" s="109"/>
      <c r="L193" s="109"/>
    </row>
    <row r="194" spans="11:12">
      <c r="K194" s="109"/>
      <c r="L194" s="109"/>
    </row>
    <row r="195" spans="11:12">
      <c r="K195" s="109"/>
      <c r="L195" s="109"/>
    </row>
    <row r="196" spans="11:12">
      <c r="K196" s="109"/>
      <c r="L196" s="109"/>
    </row>
    <row r="197" spans="11:12">
      <c r="K197" s="109"/>
      <c r="L197" s="109"/>
    </row>
    <row r="198" spans="11:12">
      <c r="K198" s="109"/>
      <c r="L198" s="109"/>
    </row>
    <row r="199" spans="11:12">
      <c r="K199" s="109"/>
      <c r="L199" s="109"/>
    </row>
    <row r="200" spans="11:12">
      <c r="K200" s="109"/>
      <c r="L200" s="109"/>
    </row>
    <row r="201" spans="11:12">
      <c r="K201" s="109"/>
      <c r="L201" s="109"/>
    </row>
    <row r="202" spans="11:12">
      <c r="K202" s="109"/>
      <c r="L202" s="109"/>
    </row>
    <row r="203" spans="11:12">
      <c r="K203" s="109"/>
      <c r="L203" s="109"/>
    </row>
    <row r="204" spans="11:12">
      <c r="K204" s="109"/>
      <c r="L204" s="109"/>
    </row>
    <row r="205" spans="11:12">
      <c r="K205" s="109"/>
      <c r="L205" s="109"/>
    </row>
    <row r="206" spans="11:12">
      <c r="K206" s="109"/>
      <c r="L206" s="109"/>
    </row>
    <row r="207" spans="11:12">
      <c r="K207" s="109"/>
      <c r="L207" s="109"/>
    </row>
    <row r="208" spans="11:12">
      <c r="K208" s="109"/>
      <c r="L208" s="109"/>
    </row>
    <row r="209" spans="11:12">
      <c r="K209" s="109"/>
      <c r="L209" s="109"/>
    </row>
    <row r="210" spans="11:12">
      <c r="K210" s="109"/>
      <c r="L210" s="109"/>
    </row>
    <row r="211" spans="11:12">
      <c r="K211" s="109"/>
      <c r="L211" s="109"/>
    </row>
    <row r="212" spans="11:12">
      <c r="K212" s="109"/>
      <c r="L212" s="109"/>
    </row>
    <row r="213" spans="11:12">
      <c r="K213" s="109"/>
      <c r="L213" s="109"/>
    </row>
    <row r="214" spans="11:12">
      <c r="K214" s="109"/>
      <c r="L214" s="109"/>
    </row>
    <row r="215" spans="11:12">
      <c r="K215" s="109"/>
      <c r="L215" s="109"/>
    </row>
    <row r="216" spans="11:12">
      <c r="K216" s="109"/>
      <c r="L216" s="109"/>
    </row>
    <row r="217" spans="11:12">
      <c r="K217" s="109"/>
      <c r="L217" s="109"/>
    </row>
    <row r="218" spans="11:12">
      <c r="K218" s="109"/>
      <c r="L218" s="109"/>
    </row>
    <row r="219" spans="11:12">
      <c r="K219" s="109"/>
      <c r="L219" s="109"/>
    </row>
    <row r="220" spans="11:12">
      <c r="K220" s="109"/>
      <c r="L220" s="109"/>
    </row>
    <row r="221" spans="11:12">
      <c r="K221" s="109"/>
      <c r="L221" s="109"/>
    </row>
    <row r="222" spans="11:12">
      <c r="K222" s="109"/>
      <c r="L222" s="109"/>
    </row>
    <row r="223" spans="11:12">
      <c r="K223" s="109"/>
      <c r="L223" s="109"/>
    </row>
  </sheetData>
  <mergeCells count="23"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A2"/>
    <mergeCell ref="N1:Q1"/>
    <mergeCell ref="R1:R2"/>
    <mergeCell ref="J1:J2"/>
    <mergeCell ref="I1:I2"/>
    <mergeCell ref="H1:H2"/>
    <mergeCell ref="G1:G2"/>
    <mergeCell ref="K1:M1"/>
    <mergeCell ref="F1:F2"/>
    <mergeCell ref="E1:E2"/>
    <mergeCell ref="D1:D2"/>
    <mergeCell ref="C1:C2"/>
    <mergeCell ref="B1:B2"/>
  </mergeCells>
  <dataValidations count="2">
    <dataValidation type="list" allowBlank="1" showInputMessage="1" showErrorMessage="1" sqref="K3:K223 L165:L223" xr:uid="{00FA113E-137E-43F6-9EE3-0D2675DEEE41}">
      <formula1>"Metro,Astinet,Tidak Ada"</formula1>
    </dataValidation>
    <dataValidation type="list" allowBlank="1" showInputMessage="1" showErrorMessage="1" sqref="L3:L164" xr:uid="{BF03CACD-4D3F-4E0B-985A-A2D66282CC1B}">
      <formula1>"PSB,Upgrade"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1941313-3a44-4362-af7e-6d528ad5b38b}" enabled="0" method="" siteId="{f1941313-3a44-4362-af7e-6d528ad5b38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Gumilar Setya B - PT. Infomedia Nusantara</dc:creator>
  <cp:keywords/>
  <dc:description/>
  <cp:lastModifiedBy/>
  <cp:revision/>
  <dcterms:created xsi:type="dcterms:W3CDTF">2024-06-03T12:32:28Z</dcterms:created>
  <dcterms:modified xsi:type="dcterms:W3CDTF">2026-08-24T06:20:54Z</dcterms:modified>
  <cp:category/>
  <cp:contentStatus/>
</cp:coreProperties>
</file>